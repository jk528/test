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任务分解" sheetId="2" state="visible" r:id="rId2"/>
    <sheet xmlns:r="http://schemas.openxmlformats.org/officeDocument/2006/relationships" name="章节追踪" sheetId="3" state="visible" r:id="rId3"/>
    <sheet xmlns:r="http://schemas.openxmlformats.org/officeDocument/2006/relationships" name="质量评分" sheetId="4" state="visible" r:id="rId4"/>
    <sheet xmlns:r="http://schemas.openxmlformats.org/officeDocument/2006/relationships" name="情感曲线" sheetId="5" state="visible" r:id="rId5"/>
    <sheet xmlns:r="http://schemas.openxmlformats.org/officeDocument/2006/relationships" name="每日日志" sheetId="6" state="visible" r:id="rId6"/>
    <sheet xmlns:r="http://schemas.openxmlformats.org/officeDocument/2006/relationships" name="伏笔追踪" sheetId="7" state="visible" r:id="rId7"/>
    <sheet xmlns:r="http://schemas.openxmlformats.org/officeDocument/2006/relationships" name="名词词典" sheetId="8" state="visible" r:id="rId8"/>
    <sheet xmlns:r="http://schemas.openxmlformats.org/officeDocument/2006/relationships" name="技能参考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b val="1"/>
    </font>
    <font>
      <name val="微软雅黑"/>
      <b val="1"/>
      <color rgb="00E94560"/>
      <sz val="14"/>
    </font>
    <font>
      <name val="微软雅黑"/>
      <b val="1"/>
      <color rgb="00E94560"/>
      <sz val="16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E94560"/>
      </patternFill>
    </fill>
    <fill>
      <patternFill patternType="solid">
        <fgColor rgb="003498DB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9B59B6"/>
      </patternFill>
    </fill>
    <fill>
      <patternFill patternType="solid">
        <fgColor rgb="00F1C40F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165" fontId="0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E94560"/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13" customWidth="1" min="9" max="9"/>
    <col width="13" customWidth="1" min="10" max="10"/>
    <col width="10" customWidth="1" min="11" max="11"/>
    <col width="33" customWidth="1" min="12" max="12"/>
    <col width="23" customWidth="1" min="13" max="13"/>
  </cols>
  <sheetData>
    <row r="1">
      <c r="A1" s="1" t="inlineStr">
        <is>
          <t>项目编号</t>
        </is>
      </c>
      <c r="B1" s="1" t="inlineStr">
        <is>
          <t>书名</t>
        </is>
      </c>
      <c r="C1" s="1" t="inlineStr">
        <is>
          <t>题材</t>
        </is>
      </c>
      <c r="D1" s="1" t="inlineStr">
        <is>
          <t>目标平台</t>
        </is>
      </c>
      <c r="E1" s="1" t="inlineStr">
        <is>
          <t>目标字数</t>
        </is>
      </c>
      <c r="F1" s="1" t="inlineStr">
        <is>
          <t>当前字数</t>
        </is>
      </c>
      <c r="G1" s="1" t="inlineStr">
        <is>
          <t>进度百分比</t>
        </is>
      </c>
      <c r="H1" s="1" t="inlineStr">
        <is>
          <t>当前状态</t>
        </is>
      </c>
      <c r="I1" s="1" t="inlineStr">
        <is>
          <t>开始日期</t>
        </is>
      </c>
      <c r="J1" s="1" t="inlineStr">
        <is>
          <t>截止日期</t>
        </is>
      </c>
      <c r="K1" s="1" t="inlineStr">
        <is>
          <t>每日目标字</t>
        </is>
      </c>
      <c r="L1" s="1" t="inlineStr">
        <is>
          <t>剩余天数</t>
        </is>
      </c>
      <c r="M1" s="1" t="inlineStr">
        <is>
          <t>预计完成日</t>
        </is>
      </c>
    </row>
    <row r="2">
      <c r="A2" s="2" t="inlineStr">
        <is>
          <t>PRJ-001</t>
        </is>
      </c>
      <c r="B2" s="2" t="inlineStr">
        <is>
          <t>示例书名</t>
        </is>
      </c>
      <c r="C2" s="2" t="inlineStr">
        <is>
          <t>玄幻修仙</t>
        </is>
      </c>
      <c r="D2" s="2" t="inlineStr">
        <is>
          <t>起点</t>
        </is>
      </c>
      <c r="E2" s="2" t="n">
        <v>1000000</v>
      </c>
      <c r="F2" s="2" t="n">
        <v>0</v>
      </c>
      <c r="G2" s="3">
        <f>IF(F2&gt;0,F2/E2,0)</f>
        <v/>
      </c>
      <c r="H2" s="2" t="inlineStr">
        <is>
          <t>S1-题材定位</t>
        </is>
      </c>
      <c r="I2" s="2" t="inlineStr">
        <is>
          <t>2026-06-05</t>
        </is>
      </c>
      <c r="J2" s="2" t="inlineStr">
        <is>
          <t>2026-12-31</t>
        </is>
      </c>
      <c r="K2" s="2" t="n">
        <v>4000</v>
      </c>
      <c r="L2" s="2">
        <f>MAX(0, DATEVALUE(J2)-TODAY())</f>
        <v/>
      </c>
      <c r="M2" s="2">
        <f>IF(K2&gt;0, J2, "N/A")</f>
        <v/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3498DB"/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36" customWidth="1" min="10" max="10"/>
    <col width="10" customWidth="1" min="11" max="11"/>
    <col width="10" customWidth="1" min="12" max="12"/>
    <col width="12" customWidth="1" min="13" max="13"/>
    <col width="10" customWidth="1" min="14" max="14"/>
    <col width="11" customWidth="1" min="15" max="15"/>
  </cols>
  <sheetData>
    <row r="1">
      <c r="A1" s="1" t="inlineStr">
        <is>
          <t>任务编码</t>
        </is>
      </c>
      <c r="B1" s="1" t="inlineStr">
        <is>
          <t>阶段</t>
        </is>
      </c>
      <c r="C1" s="1" t="inlineStr">
        <is>
          <t>任务</t>
        </is>
      </c>
      <c r="D1" s="1" t="inlineStr">
        <is>
          <t>子任务</t>
        </is>
      </c>
      <c r="E1" s="1" t="inlineStr">
        <is>
          <t>负责人</t>
        </is>
      </c>
      <c r="F1" s="1" t="inlineStr">
        <is>
          <t>优先级</t>
        </is>
      </c>
      <c r="G1" s="1" t="inlineStr">
        <is>
          <t>状态</t>
        </is>
      </c>
      <c r="H1" s="1" t="inlineStr">
        <is>
          <t>预估工时</t>
        </is>
      </c>
      <c r="I1" s="1" t="inlineStr">
        <is>
          <t>实际工时</t>
        </is>
      </c>
      <c r="J1" s="1" t="inlineStr">
        <is>
          <t>开始日期</t>
        </is>
      </c>
      <c r="K1" s="1" t="inlineStr">
        <is>
          <t>结束日期</t>
        </is>
      </c>
      <c r="L1" s="1" t="inlineStr">
        <is>
          <t>前置依赖</t>
        </is>
      </c>
      <c r="M1" s="1" t="inlineStr">
        <is>
          <t>交付物</t>
        </is>
      </c>
      <c r="N1" s="1" t="inlineStr">
        <is>
          <t>质量评分</t>
        </is>
      </c>
      <c r="O1" s="1" t="inlineStr">
        <is>
          <t>备注</t>
        </is>
      </c>
    </row>
    <row r="2">
      <c r="A2" s="2" t="inlineStr">
        <is>
          <t>1.0</t>
        </is>
      </c>
      <c r="B2" s="4" t="inlineStr">
        <is>
          <t>S1-题材定位</t>
        </is>
      </c>
      <c r="C2" s="2" t="inlineStr">
        <is>
          <t>题材定位</t>
        </is>
      </c>
      <c r="D2" s="2" t="inlineStr"/>
      <c r="E2" s="2" t="inlineStr"/>
      <c r="F2" s="2" t="inlineStr">
        <is>
          <t>高</t>
        </is>
      </c>
      <c r="G2" s="2" t="inlineStr">
        <is>
          <t>未开始</t>
        </is>
      </c>
      <c r="H2" s="2" t="n">
        <v>2</v>
      </c>
      <c r="I2" s="2" t="n">
        <v>0</v>
      </c>
      <c r="J2" s="2" t="inlineStr"/>
      <c r="K2" s="2" t="inlineStr"/>
      <c r="L2" s="2" t="inlineStr"/>
      <c r="M2" s="2" t="inlineStr">
        <is>
          <t>题材确认书</t>
        </is>
      </c>
      <c r="N2" s="2" t="inlineStr"/>
      <c r="O2" s="2" t="inlineStr"/>
    </row>
    <row r="3">
      <c r="A3" s="2" t="inlineStr">
        <is>
          <t>1.1</t>
        </is>
      </c>
      <c r="B3" s="4" t="inlineStr">
        <is>
          <t>S1-题材定位</t>
        </is>
      </c>
      <c r="C3" s="2" t="inlineStr"/>
      <c r="D3" s="2" t="inlineStr">
        <is>
          <t>市场调研</t>
        </is>
      </c>
      <c r="E3" s="2" t="inlineStr"/>
      <c r="F3" s="2" t="inlineStr">
        <is>
          <t>高</t>
        </is>
      </c>
      <c r="G3" s="2" t="inlineStr">
        <is>
          <t>未开始</t>
        </is>
      </c>
      <c r="H3" s="2" t="n">
        <v>1</v>
      </c>
      <c r="I3" s="2" t="n">
        <v>0</v>
      </c>
      <c r="J3" s="2" t="inlineStr"/>
      <c r="K3" s="2" t="inlineStr"/>
      <c r="L3" s="2" t="inlineStr"/>
      <c r="M3" s="2" t="inlineStr">
        <is>
          <t>竞品清单</t>
        </is>
      </c>
      <c r="N3" s="2" t="inlineStr"/>
      <c r="O3" s="2" t="inlineStr">
        <is>
          <t>3+竞品</t>
        </is>
      </c>
    </row>
    <row r="4">
      <c r="A4" s="2" t="inlineStr">
        <is>
          <t>1.2</t>
        </is>
      </c>
      <c r="B4" s="4" t="inlineStr">
        <is>
          <t>S1-题材定位</t>
        </is>
      </c>
      <c r="C4" s="2" t="inlineStr"/>
      <c r="D4" s="2" t="inlineStr">
        <is>
          <t>核心卖点提炼</t>
        </is>
      </c>
      <c r="E4" s="2" t="inlineStr"/>
      <c r="F4" s="2" t="inlineStr">
        <is>
          <t>高</t>
        </is>
      </c>
      <c r="G4" s="2" t="inlineStr">
        <is>
          <t>未开始</t>
        </is>
      </c>
      <c r="H4" s="2" t="n">
        <v>0.5</v>
      </c>
      <c r="I4" s="2" t="n">
        <v>0</v>
      </c>
      <c r="J4" s="2" t="inlineStr"/>
      <c r="K4" s="2" t="inlineStr"/>
      <c r="L4" s="2" t="inlineStr">
        <is>
          <t>1.1</t>
        </is>
      </c>
      <c r="M4" s="2" t="inlineStr">
        <is>
          <t>一句话卖点</t>
        </is>
      </c>
      <c r="N4" s="2" t="inlineStr"/>
      <c r="O4" s="2" t="inlineStr"/>
    </row>
    <row r="5">
      <c r="A5" s="2" t="inlineStr">
        <is>
          <t>1.3</t>
        </is>
      </c>
      <c r="B5" s="4" t="inlineStr">
        <is>
          <t>S1-题材定位</t>
        </is>
      </c>
      <c r="C5" s="2" t="inlineStr"/>
      <c r="D5" s="2" t="inlineStr">
        <is>
          <t>目标读者画像</t>
        </is>
      </c>
      <c r="E5" s="2" t="inlineStr"/>
      <c r="F5" s="2" t="inlineStr">
        <is>
          <t>中</t>
        </is>
      </c>
      <c r="G5" s="2" t="inlineStr">
        <is>
          <t>未开始</t>
        </is>
      </c>
      <c r="H5" s="2" t="n">
        <v>0.5</v>
      </c>
      <c r="I5" s="2" t="n">
        <v>0</v>
      </c>
      <c r="J5" s="2" t="inlineStr"/>
      <c r="K5" s="2" t="inlineStr"/>
      <c r="L5" s="2" t="inlineStr">
        <is>
          <t>1.2</t>
        </is>
      </c>
      <c r="M5" s="2" t="inlineStr">
        <is>
          <t>读者画像</t>
        </is>
      </c>
      <c r="N5" s="2" t="inlineStr"/>
      <c r="O5" s="2" t="inlineStr"/>
    </row>
    <row r="6">
      <c r="A6" s="2" t="inlineStr">
        <is>
          <t>2.0</t>
        </is>
      </c>
      <c r="B6" s="5" t="inlineStr">
        <is>
          <t>S2-世界观构建</t>
        </is>
      </c>
      <c r="C6" s="2" t="inlineStr">
        <is>
          <t>世界观构建</t>
        </is>
      </c>
      <c r="D6" s="2" t="inlineStr"/>
      <c r="E6" s="2" t="inlineStr"/>
      <c r="F6" s="2" t="inlineStr">
        <is>
          <t>高</t>
        </is>
      </c>
      <c r="G6" s="2" t="inlineStr">
        <is>
          <t>未开始</t>
        </is>
      </c>
      <c r="H6" s="2" t="n">
        <v>8</v>
      </c>
      <c r="I6" s="2" t="n">
        <v>0</v>
      </c>
      <c r="J6" s="2" t="inlineStr"/>
      <c r="K6" s="2" t="inlineStr"/>
      <c r="L6" s="2" t="inlineStr"/>
      <c r="M6" s="2" t="inlineStr">
        <is>
          <t>世界观档案</t>
        </is>
      </c>
      <c r="N6" s="2" t="inlineStr"/>
      <c r="O6" s="2" t="inlineStr"/>
    </row>
    <row r="7">
      <c r="A7" s="2" t="inlineStr">
        <is>
          <t>2.1</t>
        </is>
      </c>
      <c r="B7" s="5" t="inlineStr">
        <is>
          <t>S2-世界观构建</t>
        </is>
      </c>
      <c r="C7" s="2" t="inlineStr"/>
      <c r="D7" s="2" t="inlineStr">
        <is>
          <t>地理设定</t>
        </is>
      </c>
      <c r="E7" s="2" t="inlineStr"/>
      <c r="F7" s="2" t="inlineStr">
        <is>
          <t>高</t>
        </is>
      </c>
      <c r="G7" s="2" t="inlineStr">
        <is>
          <t>未开始</t>
        </is>
      </c>
      <c r="H7" s="2" t="n">
        <v>1</v>
      </c>
      <c r="I7" s="2" t="n">
        <v>0</v>
      </c>
      <c r="J7" s="2" t="inlineStr"/>
      <c r="K7" s="2" t="inlineStr"/>
      <c r="L7" s="2" t="inlineStr">
        <is>
          <t>1.0</t>
        </is>
      </c>
      <c r="M7" s="2" t="inlineStr">
        <is>
          <t>地图+区域</t>
        </is>
      </c>
      <c r="N7" s="2" t="inlineStr"/>
      <c r="O7" s="2" t="inlineStr"/>
    </row>
    <row r="8">
      <c r="A8" s="2" t="inlineStr">
        <is>
          <t>2.2</t>
        </is>
      </c>
      <c r="B8" s="5" t="inlineStr">
        <is>
          <t>S2-世界观构建</t>
        </is>
      </c>
      <c r="C8" s="2" t="inlineStr"/>
      <c r="D8" s="2" t="inlineStr">
        <is>
          <t>力量体系</t>
        </is>
      </c>
      <c r="E8" s="2" t="inlineStr"/>
      <c r="F8" s="2" t="inlineStr">
        <is>
          <t>高</t>
        </is>
      </c>
      <c r="G8" s="2" t="inlineStr">
        <is>
          <t>未开始</t>
        </is>
      </c>
      <c r="H8" s="2" t="n">
        <v>2</v>
      </c>
      <c r="I8" s="2" t="n">
        <v>0</v>
      </c>
      <c r="J8" s="2" t="inlineStr"/>
      <c r="K8" s="2" t="inlineStr"/>
      <c r="L8" s="2" t="inlineStr">
        <is>
          <t>2.1</t>
        </is>
      </c>
      <c r="M8" s="2" t="inlineStr">
        <is>
          <t>等级表+规则</t>
        </is>
      </c>
      <c r="N8" s="2" t="inlineStr"/>
      <c r="O8" s="2" t="inlineStr">
        <is>
          <t>必须量化</t>
        </is>
      </c>
    </row>
    <row r="9">
      <c r="A9" s="2" t="inlineStr">
        <is>
          <t>2.3</t>
        </is>
      </c>
      <c r="B9" s="5" t="inlineStr">
        <is>
          <t>S2-世界观构建</t>
        </is>
      </c>
      <c r="C9" s="2" t="inlineStr"/>
      <c r="D9" s="2" t="inlineStr">
        <is>
          <t>资源体系</t>
        </is>
      </c>
      <c r="E9" s="2" t="inlineStr"/>
      <c r="F9" s="2" t="inlineStr">
        <is>
          <t>高</t>
        </is>
      </c>
      <c r="G9" s="2" t="inlineStr">
        <is>
          <t>未开始</t>
        </is>
      </c>
      <c r="H9" s="2" t="n">
        <v>1</v>
      </c>
      <c r="I9" s="2" t="n">
        <v>0</v>
      </c>
      <c r="J9" s="2" t="inlineStr"/>
      <c r="K9" s="2" t="inlineStr"/>
      <c r="L9" s="2" t="inlineStr">
        <is>
          <t>2.2</t>
        </is>
      </c>
      <c r="M9" s="2" t="inlineStr">
        <is>
          <t>生产链</t>
        </is>
      </c>
      <c r="N9" s="2" t="inlineStr"/>
      <c r="O9" s="2" t="inlineStr"/>
    </row>
    <row r="10">
      <c r="A10" s="2" t="inlineStr">
        <is>
          <t>2.4</t>
        </is>
      </c>
      <c r="B10" s="5" t="inlineStr">
        <is>
          <t>S2-世界观构建</t>
        </is>
      </c>
      <c r="C10" s="2" t="inlineStr"/>
      <c r="D10" s="2" t="inlineStr">
        <is>
          <t>势力格局</t>
        </is>
      </c>
      <c r="E10" s="2" t="inlineStr"/>
      <c r="F10" s="2" t="inlineStr">
        <is>
          <t>中</t>
        </is>
      </c>
      <c r="G10" s="2" t="inlineStr">
        <is>
          <t>未开始</t>
        </is>
      </c>
      <c r="H10" s="2" t="n">
        <v>1</v>
      </c>
      <c r="I10" s="2" t="n">
        <v>0</v>
      </c>
      <c r="J10" s="2" t="inlineStr"/>
      <c r="K10" s="2" t="inlineStr"/>
      <c r="L10" s="2" t="inlineStr">
        <is>
          <t>2.1</t>
        </is>
      </c>
      <c r="M10" s="2" t="inlineStr">
        <is>
          <t>势力地图</t>
        </is>
      </c>
      <c r="N10" s="2" t="inlineStr"/>
      <c r="O10" s="2" t="inlineStr"/>
    </row>
    <row r="11">
      <c r="A11" s="2" t="inlineStr">
        <is>
          <t>2.5</t>
        </is>
      </c>
      <c r="B11" s="5" t="inlineStr">
        <is>
          <t>S2-世界观构建</t>
        </is>
      </c>
      <c r="C11" s="2" t="inlineStr"/>
      <c r="D11" s="2" t="inlineStr">
        <is>
          <t>历史背景</t>
        </is>
      </c>
      <c r="E11" s="2" t="inlineStr"/>
      <c r="F11" s="2" t="inlineStr">
        <is>
          <t>中</t>
        </is>
      </c>
      <c r="G11" s="2" t="inlineStr">
        <is>
          <t>未开始</t>
        </is>
      </c>
      <c r="H11" s="2" t="n">
        <v>1</v>
      </c>
      <c r="I11" s="2" t="n">
        <v>0</v>
      </c>
      <c r="J11" s="2" t="inlineStr"/>
      <c r="K11" s="2" t="inlineStr"/>
      <c r="L11" s="2" t="inlineStr">
        <is>
          <t>2.1</t>
        </is>
      </c>
      <c r="M11" s="2" t="inlineStr">
        <is>
          <t>时间线</t>
        </is>
      </c>
      <c r="N11" s="2" t="inlineStr"/>
      <c r="O11" s="2" t="inlineStr"/>
    </row>
    <row r="12">
      <c r="A12" s="2" t="inlineStr">
        <is>
          <t>2.6</t>
        </is>
      </c>
      <c r="B12" s="5" t="inlineStr">
        <is>
          <t>S2-世界观构建</t>
        </is>
      </c>
      <c r="C12" s="2" t="inlineStr"/>
      <c r="D12" s="2" t="inlineStr">
        <is>
          <t>社会规则</t>
        </is>
      </c>
      <c r="E12" s="2" t="inlineStr"/>
      <c r="F12" s="2" t="inlineStr">
        <is>
          <t>低</t>
        </is>
      </c>
      <c r="G12" s="2" t="inlineStr">
        <is>
          <t>未开始</t>
        </is>
      </c>
      <c r="H12" s="2" t="n">
        <v>1</v>
      </c>
      <c r="I12" s="2" t="n">
        <v>0</v>
      </c>
      <c r="J12" s="2" t="inlineStr"/>
      <c r="K12" s="2" t="inlineStr"/>
      <c r="L12" s="2" t="inlineStr">
        <is>
          <t>2.1</t>
        </is>
      </c>
      <c r="M12" s="2" t="inlineStr">
        <is>
          <t>文化文档</t>
        </is>
      </c>
      <c r="N12" s="2" t="inlineStr"/>
      <c r="O12" s="2" t="inlineStr"/>
    </row>
    <row r="13">
      <c r="A13" s="2" t="inlineStr">
        <is>
          <t>2.7</t>
        </is>
      </c>
      <c r="B13" s="5" t="inlineStr">
        <is>
          <t>S2-世界观构建</t>
        </is>
      </c>
      <c r="C13" s="2" t="inlineStr"/>
      <c r="D13" s="2" t="inlineStr">
        <is>
          <t>特殊设定</t>
        </is>
      </c>
      <c r="E13" s="2" t="inlineStr"/>
      <c r="F13" s="2" t="inlineStr">
        <is>
          <t>高</t>
        </is>
      </c>
      <c r="G13" s="2" t="inlineStr">
        <is>
          <t>未开始</t>
        </is>
      </c>
      <c r="H13" s="2" t="n">
        <v>1</v>
      </c>
      <c r="I13" s="2" t="n">
        <v>0</v>
      </c>
      <c r="J13" s="2" t="inlineStr"/>
      <c r="K13" s="2" t="inlineStr"/>
      <c r="L13" s="2" t="inlineStr">
        <is>
          <t>2.2</t>
        </is>
      </c>
      <c r="M13" s="2" t="inlineStr">
        <is>
          <t>金手指规则</t>
        </is>
      </c>
      <c r="N13" s="2" t="inlineStr"/>
      <c r="O13" s="2" t="inlineStr"/>
    </row>
    <row r="14">
      <c r="A14" s="2" t="inlineStr">
        <is>
          <t>2.8</t>
        </is>
      </c>
      <c r="B14" s="5" t="inlineStr">
        <is>
          <t>S2-世界观构建</t>
        </is>
      </c>
      <c r="C14" s="2" t="inlineStr"/>
      <c r="D14" s="2" t="inlineStr">
        <is>
          <t>名词词典</t>
        </is>
      </c>
      <c r="E14" s="2" t="inlineStr"/>
      <c r="F14" s="2" t="inlineStr">
        <is>
          <t>中</t>
        </is>
      </c>
      <c r="G14" s="2" t="inlineStr">
        <is>
          <t>未开始</t>
        </is>
      </c>
      <c r="H14" s="2" t="n">
        <v>0</v>
      </c>
      <c r="I14" s="2" t="n">
        <v>0</v>
      </c>
      <c r="J14" s="2" t="inlineStr"/>
      <c r="K14" s="2" t="inlineStr"/>
      <c r="L14" s="2" t="inlineStr">
        <is>
          <t>2.1-2.7</t>
        </is>
      </c>
      <c r="M14" s="2" t="inlineStr">
        <is>
          <t>术语词典</t>
        </is>
      </c>
      <c r="N14" s="2" t="inlineStr"/>
      <c r="O14" s="2" t="inlineStr">
        <is>
          <t>持续维护</t>
        </is>
      </c>
    </row>
    <row r="15">
      <c r="A15" s="2" t="inlineStr">
        <is>
          <t>3.0</t>
        </is>
      </c>
      <c r="B15" s="6" t="inlineStr">
        <is>
          <t>S3-角色设计</t>
        </is>
      </c>
      <c r="C15" s="2" t="inlineStr">
        <is>
          <t>角色设计</t>
        </is>
      </c>
      <c r="D15" s="2" t="inlineStr"/>
      <c r="E15" s="2" t="inlineStr"/>
      <c r="F15" s="2" t="inlineStr">
        <is>
          <t>高</t>
        </is>
      </c>
      <c r="G15" s="2" t="inlineStr">
        <is>
          <t>未开始</t>
        </is>
      </c>
      <c r="H15" s="2" t="n">
        <v>6</v>
      </c>
      <c r="I15" s="2" t="n">
        <v>0</v>
      </c>
      <c r="J15" s="2" t="inlineStr"/>
      <c r="K15" s="2" t="inlineStr"/>
      <c r="L15" s="2" t="inlineStr"/>
      <c r="M15" s="2" t="inlineStr">
        <is>
          <t>角色设定卡</t>
        </is>
      </c>
      <c r="N15" s="2" t="inlineStr"/>
      <c r="O15" s="2" t="inlineStr"/>
    </row>
    <row r="16">
      <c r="A16" s="2" t="inlineStr">
        <is>
          <t>3.1</t>
        </is>
      </c>
      <c r="B16" s="6" t="inlineStr">
        <is>
          <t>S3-角色设计</t>
        </is>
      </c>
      <c r="C16" s="2" t="inlineStr"/>
      <c r="D16" s="2" t="inlineStr">
        <is>
          <t>主角基础信息</t>
        </is>
      </c>
      <c r="E16" s="2" t="inlineStr"/>
      <c r="F16" s="2" t="inlineStr">
        <is>
          <t>高</t>
        </is>
      </c>
      <c r="G16" s="2" t="inlineStr">
        <is>
          <t>未开始</t>
        </is>
      </c>
      <c r="H16" s="2" t="n">
        <v>0.5</v>
      </c>
      <c r="I16" s="2" t="n">
        <v>0</v>
      </c>
      <c r="J16" s="2" t="inlineStr"/>
      <c r="K16" s="2" t="inlineStr"/>
      <c r="L16" s="2" t="inlineStr">
        <is>
          <t>2.0</t>
        </is>
      </c>
      <c r="M16" s="2" t="inlineStr">
        <is>
          <t>主角卡v1</t>
        </is>
      </c>
      <c r="N16" s="2" t="inlineStr"/>
      <c r="O16" s="2" t="inlineStr"/>
    </row>
    <row r="17">
      <c r="A17" s="2" t="inlineStr">
        <is>
          <t>3.2</t>
        </is>
      </c>
      <c r="B17" s="6" t="inlineStr">
        <is>
          <t>S3-角色设计</t>
        </is>
      </c>
      <c r="C17" s="2" t="inlineStr"/>
      <c r="D17" s="2" t="inlineStr">
        <is>
          <t>主角成长路径</t>
        </is>
      </c>
      <c r="E17" s="2" t="inlineStr"/>
      <c r="F17" s="2" t="inlineStr">
        <is>
          <t>高</t>
        </is>
      </c>
      <c r="G17" s="2" t="inlineStr">
        <is>
          <t>未开始</t>
        </is>
      </c>
      <c r="H17" s="2" t="n">
        <v>1</v>
      </c>
      <c r="I17" s="2" t="n">
        <v>0</v>
      </c>
      <c r="J17" s="2" t="inlineStr"/>
      <c r="K17" s="2" t="inlineStr"/>
      <c r="L17" s="2" t="inlineStr">
        <is>
          <t>3.1</t>
        </is>
      </c>
      <c r="M17" s="2" t="inlineStr">
        <is>
          <t>主角成长表</t>
        </is>
      </c>
      <c r="N17" s="2" t="inlineStr"/>
      <c r="O17" s="2" t="inlineStr">
        <is>
          <t>量化</t>
        </is>
      </c>
    </row>
    <row r="18">
      <c r="A18" s="2" t="inlineStr">
        <is>
          <t>3.3</t>
        </is>
      </c>
      <c r="B18" s="6" t="inlineStr">
        <is>
          <t>S3-角色设计</t>
        </is>
      </c>
      <c r="C18" s="2" t="inlineStr"/>
      <c r="D18" s="2" t="inlineStr">
        <is>
          <t>主角性格弧光</t>
        </is>
      </c>
      <c r="E18" s="2" t="inlineStr"/>
      <c r="F18" s="2" t="inlineStr">
        <is>
          <t>高</t>
        </is>
      </c>
      <c r="G18" s="2" t="inlineStr">
        <is>
          <t>未开始</t>
        </is>
      </c>
      <c r="H18" s="2" t="n">
        <v>1</v>
      </c>
      <c r="I18" s="2" t="n">
        <v>0</v>
      </c>
      <c r="J18" s="2" t="inlineStr"/>
      <c r="K18" s="2" t="inlineStr"/>
      <c r="L18" s="2" t="inlineStr">
        <is>
          <t>3.1</t>
        </is>
      </c>
      <c r="M18" s="2" t="inlineStr">
        <is>
          <t>弧光图</t>
        </is>
      </c>
      <c r="N18" s="2" t="inlineStr"/>
      <c r="O18" s="2" t="inlineStr"/>
    </row>
    <row r="19">
      <c r="A19" s="2" t="inlineStr">
        <is>
          <t>3.4</t>
        </is>
      </c>
      <c r="B19" s="6" t="inlineStr">
        <is>
          <t>S3-角色设计</t>
        </is>
      </c>
      <c r="C19" s="2" t="inlineStr"/>
      <c r="D19" s="2" t="inlineStr">
        <is>
          <t>核心配角(5+)</t>
        </is>
      </c>
      <c r="E19" s="2" t="inlineStr"/>
      <c r="F19" s="2" t="inlineStr">
        <is>
          <t>高</t>
        </is>
      </c>
      <c r="G19" s="2" t="inlineStr">
        <is>
          <t>未开始</t>
        </is>
      </c>
      <c r="H19" s="2" t="n">
        <v>2</v>
      </c>
      <c r="I19" s="2" t="n">
        <v>0</v>
      </c>
      <c r="J19" s="2" t="inlineStr"/>
      <c r="K19" s="2" t="inlineStr"/>
      <c r="L19" s="2" t="inlineStr">
        <is>
          <t>3.3</t>
        </is>
      </c>
      <c r="M19" s="2" t="inlineStr">
        <is>
          <t>配角卡</t>
        </is>
      </c>
      <c r="N19" s="2" t="inlineStr"/>
      <c r="O19" s="2" t="inlineStr">
        <is>
          <t>每人有功能</t>
        </is>
      </c>
    </row>
    <row r="20">
      <c r="A20" s="2" t="inlineStr">
        <is>
          <t>3.5</t>
        </is>
      </c>
      <c r="B20" s="6" t="inlineStr">
        <is>
          <t>S3-角色设计</t>
        </is>
      </c>
      <c r="C20" s="2" t="inlineStr"/>
      <c r="D20" s="2" t="inlineStr">
        <is>
          <t>反派设计</t>
        </is>
      </c>
      <c r="E20" s="2" t="inlineStr"/>
      <c r="F20" s="2" t="inlineStr">
        <is>
          <t>高</t>
        </is>
      </c>
      <c r="G20" s="2" t="inlineStr">
        <is>
          <t>未开始</t>
        </is>
      </c>
      <c r="H20" s="2" t="n">
        <v>1</v>
      </c>
      <c r="I20" s="2" t="n">
        <v>0</v>
      </c>
      <c r="J20" s="2" t="inlineStr"/>
      <c r="K20" s="2" t="inlineStr"/>
      <c r="L20" s="2" t="inlineStr">
        <is>
          <t>3.4</t>
        </is>
      </c>
      <c r="M20" s="2" t="inlineStr">
        <is>
          <t>反派卡</t>
        </is>
      </c>
      <c r="N20" s="2" t="inlineStr"/>
      <c r="O20" s="2" t="inlineStr"/>
    </row>
    <row r="21">
      <c r="A21" s="2" t="inlineStr">
        <is>
          <t>3.6</t>
        </is>
      </c>
      <c r="B21" s="6" t="inlineStr">
        <is>
          <t>S3-角色设计</t>
        </is>
      </c>
      <c r="C21" s="2" t="inlineStr"/>
      <c r="D21" s="2" t="inlineStr">
        <is>
          <t>关系网</t>
        </is>
      </c>
      <c r="E21" s="2" t="inlineStr"/>
      <c r="F21" s="2" t="inlineStr">
        <is>
          <t>中</t>
        </is>
      </c>
      <c r="G21" s="2" t="inlineStr">
        <is>
          <t>未开始</t>
        </is>
      </c>
      <c r="H21" s="2" t="n">
        <v>0.5</v>
      </c>
      <c r="I21" s="2" t="n">
        <v>0</v>
      </c>
      <c r="J21" s="2" t="inlineStr"/>
      <c r="K21" s="2" t="inlineStr"/>
      <c r="L21" s="2" t="inlineStr">
        <is>
          <t>3.4-3.5</t>
        </is>
      </c>
      <c r="M21" s="2" t="inlineStr">
        <is>
          <t>关系图</t>
        </is>
      </c>
      <c r="N21" s="2" t="inlineStr"/>
      <c r="O21" s="2" t="inlineStr"/>
    </row>
    <row r="22">
      <c r="A22" s="2" t="inlineStr">
        <is>
          <t>4.0</t>
        </is>
      </c>
      <c r="B22" s="7" t="inlineStr">
        <is>
          <t>S4-大纲编写</t>
        </is>
      </c>
      <c r="C22" s="2" t="inlineStr">
        <is>
          <t>大纲编写</t>
        </is>
      </c>
      <c r="D22" s="2" t="inlineStr"/>
      <c r="E22" s="2" t="inlineStr"/>
      <c r="F22" s="2" t="inlineStr">
        <is>
          <t>高</t>
        </is>
      </c>
      <c r="G22" s="2" t="inlineStr">
        <is>
          <t>未开始</t>
        </is>
      </c>
      <c r="H22" s="2" t="n">
        <v>10</v>
      </c>
      <c r="I22" s="2" t="n">
        <v>0</v>
      </c>
      <c r="J22" s="2" t="inlineStr"/>
      <c r="K22" s="2" t="inlineStr"/>
      <c r="L22" s="2" t="inlineStr"/>
      <c r="M22" s="2" t="inlineStr">
        <is>
          <t>卷纲+章纲</t>
        </is>
      </c>
      <c r="N22" s="2" t="inlineStr"/>
      <c r="O22" s="2" t="inlineStr"/>
    </row>
    <row r="23">
      <c r="A23" s="2" t="inlineStr">
        <is>
          <t>4.1</t>
        </is>
      </c>
      <c r="B23" s="7" t="inlineStr">
        <is>
          <t>S4-大纲编写</t>
        </is>
      </c>
      <c r="C23" s="2" t="inlineStr"/>
      <c r="D23" s="2" t="inlineStr">
        <is>
          <t>卷纲编写</t>
        </is>
      </c>
      <c r="E23" s="2" t="inlineStr"/>
      <c r="F23" s="2" t="inlineStr">
        <is>
          <t>高</t>
        </is>
      </c>
      <c r="G23" s="2" t="inlineStr">
        <is>
          <t>未开始</t>
        </is>
      </c>
      <c r="H23" s="2" t="n">
        <v>3</v>
      </c>
      <c r="I23" s="2" t="n">
        <v>0</v>
      </c>
      <c r="J23" s="2" t="inlineStr"/>
      <c r="K23" s="2" t="inlineStr"/>
      <c r="L23" s="2" t="inlineStr">
        <is>
          <t>3.0</t>
        </is>
      </c>
      <c r="M23" s="2" t="inlineStr">
        <is>
          <t>卷规格</t>
        </is>
      </c>
      <c r="N23" s="2" t="inlineStr"/>
      <c r="O23" s="2" t="inlineStr">
        <is>
          <t>目标/冲突/状态</t>
        </is>
      </c>
    </row>
    <row r="24">
      <c r="A24" s="2" t="inlineStr">
        <is>
          <t>4.2</t>
        </is>
      </c>
      <c r="B24" s="7" t="inlineStr">
        <is>
          <t>S4-大纲编写</t>
        </is>
      </c>
      <c r="C24" s="2" t="inlineStr"/>
      <c r="D24" s="2" t="inlineStr">
        <is>
          <t>章纲编写</t>
        </is>
      </c>
      <c r="E24" s="2" t="inlineStr"/>
      <c r="F24" s="2" t="inlineStr">
        <is>
          <t>高</t>
        </is>
      </c>
      <c r="G24" s="2" t="inlineStr">
        <is>
          <t>未开始</t>
        </is>
      </c>
      <c r="H24" s="2" t="n">
        <v>5</v>
      </c>
      <c r="I24" s="2" t="n">
        <v>0</v>
      </c>
      <c r="J24" s="2" t="inlineStr"/>
      <c r="K24" s="2" t="inlineStr"/>
      <c r="L24" s="2" t="inlineStr">
        <is>
          <t>4.1</t>
        </is>
      </c>
      <c r="M24" s="2" t="inlineStr">
        <is>
          <t>章纲表</t>
        </is>
      </c>
      <c r="N24" s="2" t="inlineStr"/>
      <c r="O24" s="2" t="inlineStr">
        <is>
          <t>类型+钩子标签</t>
        </is>
      </c>
    </row>
    <row r="25">
      <c r="A25" s="2" t="inlineStr">
        <is>
          <t>4.3</t>
        </is>
      </c>
      <c r="B25" s="7" t="inlineStr">
        <is>
          <t>S4-大纲编写</t>
        </is>
      </c>
      <c r="C25" s="2" t="inlineStr"/>
      <c r="D25" s="2" t="inlineStr">
        <is>
          <t>节奏检查</t>
        </is>
      </c>
      <c r="E25" s="2" t="inlineStr"/>
      <c r="F25" s="2" t="inlineStr">
        <is>
          <t>高</t>
        </is>
      </c>
      <c r="G25" s="2" t="inlineStr">
        <is>
          <t>未开始</t>
        </is>
      </c>
      <c r="H25" s="2" t="n">
        <v>1</v>
      </c>
      <c r="I25" s="2" t="n">
        <v>0</v>
      </c>
      <c r="J25" s="2" t="inlineStr"/>
      <c r="K25" s="2" t="inlineStr"/>
      <c r="L25" s="2" t="inlineStr">
        <is>
          <t>4.2</t>
        </is>
      </c>
      <c r="M25" s="2" t="inlineStr">
        <is>
          <t>节奏报告</t>
        </is>
      </c>
      <c r="N25" s="2" t="inlineStr"/>
      <c r="O25" s="2" t="inlineStr">
        <is>
          <t>无10章沙漠</t>
        </is>
      </c>
    </row>
    <row r="26">
      <c r="A26" s="2" t="inlineStr">
        <is>
          <t>4.4</t>
        </is>
      </c>
      <c r="B26" s="7" t="inlineStr">
        <is>
          <t>S4-大纲编写</t>
        </is>
      </c>
      <c r="C26" s="2" t="inlineStr"/>
      <c r="D26" s="2" t="inlineStr">
        <is>
          <t>伏笔追踪</t>
        </is>
      </c>
      <c r="E26" s="2" t="inlineStr"/>
      <c r="F26" s="2" t="inlineStr">
        <is>
          <t>中</t>
        </is>
      </c>
      <c r="G26" s="2" t="inlineStr">
        <is>
          <t>未开始</t>
        </is>
      </c>
      <c r="H26" s="2" t="n">
        <v>1</v>
      </c>
      <c r="I26" s="2" t="n">
        <v>0</v>
      </c>
      <c r="J26" s="2" t="inlineStr"/>
      <c r="K26" s="2" t="inlineStr"/>
      <c r="L26" s="2" t="inlineStr">
        <is>
          <t>4.2</t>
        </is>
      </c>
      <c r="M26" s="2" t="inlineStr">
        <is>
          <t>伏笔表</t>
        </is>
      </c>
      <c r="N26" s="2" t="inlineStr"/>
      <c r="O26" s="2" t="inlineStr"/>
    </row>
    <row r="27">
      <c r="A27" s="2" t="inlineStr">
        <is>
          <t>5.0</t>
        </is>
      </c>
      <c r="B27" s="8" t="inlineStr">
        <is>
          <t>S5-细纲拆解</t>
        </is>
      </c>
      <c r="C27" s="2" t="inlineStr">
        <is>
          <t>细纲拆解</t>
        </is>
      </c>
      <c r="D27" s="2" t="inlineStr"/>
      <c r="E27" s="2" t="inlineStr"/>
      <c r="F27" s="2" t="inlineStr">
        <is>
          <t>高</t>
        </is>
      </c>
      <c r="G27" s="2" t="inlineStr">
        <is>
          <t>未开始</t>
        </is>
      </c>
      <c r="H27" s="2" t="n">
        <v>15</v>
      </c>
      <c r="I27" s="2" t="n">
        <v>0</v>
      </c>
      <c r="J27" s="2" t="inlineStr"/>
      <c r="K27" s="2" t="inlineStr"/>
      <c r="L27" s="2" t="inlineStr"/>
      <c r="M27" s="2" t="inlineStr">
        <is>
          <t>节纲+爽点图</t>
        </is>
      </c>
      <c r="N27" s="2" t="inlineStr"/>
      <c r="O27" s="2" t="inlineStr"/>
    </row>
    <row r="28">
      <c r="A28" s="2" t="inlineStr">
        <is>
          <t>5.1</t>
        </is>
      </c>
      <c r="B28" s="8" t="inlineStr">
        <is>
          <t>S5-细纲拆解</t>
        </is>
      </c>
      <c r="C28" s="2" t="inlineStr"/>
      <c r="D28" s="2" t="inlineStr">
        <is>
          <t>节纲拆解(第1-10章)</t>
        </is>
      </c>
      <c r="E28" s="2" t="inlineStr"/>
      <c r="F28" s="2" t="inlineStr">
        <is>
          <t>高</t>
        </is>
      </c>
      <c r="G28" s="2" t="inlineStr">
        <is>
          <t>未开始</t>
        </is>
      </c>
      <c r="H28" s="2" t="n">
        <v>3</v>
      </c>
      <c r="I28" s="2" t="n">
        <v>0</v>
      </c>
      <c r="J28" s="2" t="inlineStr"/>
      <c r="K28" s="2" t="inlineStr"/>
      <c r="L28" s="2" t="inlineStr">
        <is>
          <t>4.2</t>
        </is>
      </c>
      <c r="M28" s="2" t="inlineStr">
        <is>
          <t>节规格</t>
        </is>
      </c>
      <c r="N28" s="2" t="inlineStr"/>
      <c r="O28" s="2" t="inlineStr">
        <is>
          <t>场景+动作+钩子</t>
        </is>
      </c>
    </row>
    <row r="29">
      <c r="A29" s="2" t="inlineStr">
        <is>
          <t>5.2</t>
        </is>
      </c>
      <c r="B29" s="8" t="inlineStr">
        <is>
          <t>S5-细纲拆解</t>
        </is>
      </c>
      <c r="C29" s="2" t="inlineStr"/>
      <c r="D29" s="2" t="inlineStr">
        <is>
          <t>节纲拆解(第11-20章)</t>
        </is>
      </c>
      <c r="E29" s="2" t="inlineStr"/>
      <c r="F29" s="2" t="inlineStr">
        <is>
          <t>高</t>
        </is>
      </c>
      <c r="G29" s="2" t="inlineStr">
        <is>
          <t>未开始</t>
        </is>
      </c>
      <c r="H29" s="2" t="n">
        <v>3</v>
      </c>
      <c r="I29" s="2" t="n">
        <v>0</v>
      </c>
      <c r="J29" s="2" t="inlineStr"/>
      <c r="K29" s="2" t="inlineStr"/>
      <c r="L29" s="2" t="inlineStr">
        <is>
          <t>5.1</t>
        </is>
      </c>
      <c r="M29" s="2" t="inlineStr">
        <is>
          <t>节规格</t>
        </is>
      </c>
      <c r="N29" s="2" t="inlineStr"/>
      <c r="O29" s="2" t="inlineStr"/>
    </row>
    <row r="30">
      <c r="A30" s="2" t="inlineStr">
        <is>
          <t>5.3</t>
        </is>
      </c>
      <c r="B30" s="8" t="inlineStr">
        <is>
          <t>S5-细纲拆解</t>
        </is>
      </c>
      <c r="C30" s="2" t="inlineStr"/>
      <c r="D30" s="2" t="inlineStr">
        <is>
          <t>节纲拆解(第21-30章)</t>
        </is>
      </c>
      <c r="E30" s="2" t="inlineStr"/>
      <c r="F30" s="2" t="inlineStr">
        <is>
          <t>高</t>
        </is>
      </c>
      <c r="G30" s="2" t="inlineStr">
        <is>
          <t>未开始</t>
        </is>
      </c>
      <c r="H30" s="2" t="n">
        <v>3</v>
      </c>
      <c r="I30" s="2" t="n">
        <v>0</v>
      </c>
      <c r="J30" s="2" t="inlineStr"/>
      <c r="K30" s="2" t="inlineStr"/>
      <c r="L30" s="2" t="inlineStr">
        <is>
          <t>5.2</t>
        </is>
      </c>
      <c r="M30" s="2" t="inlineStr">
        <is>
          <t>节规格</t>
        </is>
      </c>
      <c r="N30" s="2" t="inlineStr"/>
      <c r="O30" s="2" t="inlineStr"/>
    </row>
    <row r="31">
      <c r="A31" s="2" t="inlineStr">
        <is>
          <t>5.4</t>
        </is>
      </c>
      <c r="B31" s="8" t="inlineStr">
        <is>
          <t>S5-细纲拆解</t>
        </is>
      </c>
      <c r="C31" s="2" t="inlineStr"/>
      <c r="D31" s="2" t="inlineStr">
        <is>
          <t>节纲拆解(第31-40章)</t>
        </is>
      </c>
      <c r="E31" s="2" t="inlineStr"/>
      <c r="F31" s="2" t="inlineStr">
        <is>
          <t>高</t>
        </is>
      </c>
      <c r="G31" s="2" t="inlineStr">
        <is>
          <t>未开始</t>
        </is>
      </c>
      <c r="H31" s="2" t="n">
        <v>3</v>
      </c>
      <c r="I31" s="2" t="n">
        <v>0</v>
      </c>
      <c r="J31" s="2" t="inlineStr"/>
      <c r="K31" s="2" t="inlineStr"/>
      <c r="L31" s="2" t="inlineStr">
        <is>
          <t>5.3</t>
        </is>
      </c>
      <c r="M31" s="2" t="inlineStr">
        <is>
          <t>节规格</t>
        </is>
      </c>
      <c r="N31" s="2" t="inlineStr"/>
      <c r="O31" s="2" t="inlineStr"/>
    </row>
    <row r="32">
      <c r="A32" s="2" t="inlineStr">
        <is>
          <t>5.5</t>
        </is>
      </c>
      <c r="B32" s="8" t="inlineStr">
        <is>
          <t>S5-细纲拆解</t>
        </is>
      </c>
      <c r="C32" s="2" t="inlineStr"/>
      <c r="D32" s="2" t="inlineStr">
        <is>
          <t>节纲拆解(第41-50章)</t>
        </is>
      </c>
      <c r="E32" s="2" t="inlineStr"/>
      <c r="F32" s="2" t="inlineStr">
        <is>
          <t>高</t>
        </is>
      </c>
      <c r="G32" s="2" t="inlineStr">
        <is>
          <t>未开始</t>
        </is>
      </c>
      <c r="H32" s="2" t="n">
        <v>3</v>
      </c>
      <c r="I32" s="2" t="n">
        <v>0</v>
      </c>
      <c r="J32" s="2" t="inlineStr"/>
      <c r="K32" s="2" t="inlineStr"/>
      <c r="L32" s="2" t="inlineStr">
        <is>
          <t>5.4</t>
        </is>
      </c>
      <c r="M32" s="2" t="inlineStr">
        <is>
          <t>节规格</t>
        </is>
      </c>
      <c r="N32" s="2" t="inlineStr"/>
      <c r="O32" s="2" t="inlineStr"/>
    </row>
    <row r="33">
      <c r="A33" s="2" t="inlineStr">
        <is>
          <t>5.6</t>
        </is>
      </c>
      <c r="B33" s="8" t="inlineStr">
        <is>
          <t>S5-细纲拆解</t>
        </is>
      </c>
      <c r="C33" s="2" t="inlineStr"/>
      <c r="D33" s="2" t="inlineStr">
        <is>
          <t>节纲拆解(第51章+)</t>
        </is>
      </c>
      <c r="E33" s="2" t="inlineStr"/>
      <c r="F33" s="2" t="inlineStr">
        <is>
          <t>高</t>
        </is>
      </c>
      <c r="G33" s="2" t="inlineStr">
        <is>
          <t>未开始</t>
        </is>
      </c>
      <c r="H33" s="2" t="n">
        <v>0</v>
      </c>
      <c r="I33" s="2" t="n">
        <v>0</v>
      </c>
      <c r="J33" s="2" t="inlineStr"/>
      <c r="K33" s="2" t="inlineStr"/>
      <c r="L33" s="2" t="inlineStr">
        <is>
          <t>5.5</t>
        </is>
      </c>
      <c r="M33" s="2" t="inlineStr">
        <is>
          <t>节规格</t>
        </is>
      </c>
      <c r="N33" s="2" t="inlineStr"/>
      <c r="O33" s="2" t="inlineStr"/>
    </row>
    <row r="34">
      <c r="A34" s="2" t="inlineStr">
        <is>
          <t>5.7</t>
        </is>
      </c>
      <c r="B34" s="8" t="inlineStr">
        <is>
          <t>S5-细纲拆解</t>
        </is>
      </c>
      <c r="C34" s="2" t="inlineStr"/>
      <c r="D34" s="2" t="inlineStr">
        <is>
          <t>情感曲线设计</t>
        </is>
      </c>
      <c r="E34" s="2" t="inlineStr"/>
      <c r="F34" s="2" t="inlineStr">
        <is>
          <t>高</t>
        </is>
      </c>
      <c r="G34" s="2" t="inlineStr">
        <is>
          <t>未开始</t>
        </is>
      </c>
      <c r="H34" s="2" t="n">
        <v>1</v>
      </c>
      <c r="I34" s="2" t="n">
        <v>0</v>
      </c>
      <c r="J34" s="2" t="inlineStr"/>
      <c r="K34" s="2" t="inlineStr"/>
      <c r="L34" s="2" t="inlineStr">
        <is>
          <t>5.1-5.6</t>
        </is>
      </c>
      <c r="M34" s="2" t="inlineStr">
        <is>
          <t>情感曲线</t>
        </is>
      </c>
      <c r="N34" s="2" t="inlineStr"/>
      <c r="O34" s="2" t="inlineStr">
        <is>
          <t>0-100%</t>
        </is>
      </c>
    </row>
    <row r="35">
      <c r="A35" s="2" t="inlineStr">
        <is>
          <t>5.8</t>
        </is>
      </c>
      <c r="B35" s="8" t="inlineStr">
        <is>
          <t>S5-细纲拆解</t>
        </is>
      </c>
      <c r="C35" s="2" t="inlineStr"/>
      <c r="D35" s="2" t="inlineStr">
        <is>
          <t>钩子密度检查</t>
        </is>
      </c>
      <c r="E35" s="2" t="inlineStr"/>
      <c r="F35" s="2" t="inlineStr">
        <is>
          <t>中</t>
        </is>
      </c>
      <c r="G35" s="2" t="inlineStr">
        <is>
          <t>未开始</t>
        </is>
      </c>
      <c r="H35" s="2" t="n">
        <v>1</v>
      </c>
      <c r="I35" s="2" t="n">
        <v>0</v>
      </c>
      <c r="J35" s="2" t="inlineStr"/>
      <c r="K35" s="2" t="inlineStr"/>
      <c r="L35" s="2" t="inlineStr">
        <is>
          <t>5.1-5.6</t>
        </is>
      </c>
      <c r="M35" s="2" t="inlineStr">
        <is>
          <t>钩子报告</t>
        </is>
      </c>
      <c r="N35" s="2" t="inlineStr"/>
      <c r="O35" s="2" t="inlineStr"/>
    </row>
    <row r="36">
      <c r="A36" s="2" t="inlineStr">
        <is>
          <t>6.0</t>
        </is>
      </c>
      <c r="B36" s="9" t="inlineStr">
        <is>
          <t>S6-正文写作</t>
        </is>
      </c>
      <c r="C36" s="2" t="inlineStr">
        <is>
          <t>正文写作</t>
        </is>
      </c>
      <c r="D36" s="2" t="inlineStr"/>
      <c r="E36" s="2" t="inlineStr"/>
      <c r="F36" s="2" t="inlineStr">
        <is>
          <t>高</t>
        </is>
      </c>
      <c r="G36" s="2" t="inlineStr">
        <is>
          <t>未开始</t>
        </is>
      </c>
      <c r="H36" s="2" t="n">
        <v>250</v>
      </c>
      <c r="I36" s="2" t="n">
        <v>0</v>
      </c>
      <c r="J36" s="2" t="inlineStr"/>
      <c r="K36" s="2" t="inlineStr"/>
      <c r="L36" s="2" t="inlineStr"/>
      <c r="M36" s="2" t="inlineStr">
        <is>
          <t>完整正文</t>
        </is>
      </c>
      <c r="N36" s="2" t="inlineStr"/>
      <c r="O36" s="2" t="inlineStr"/>
    </row>
    <row r="37">
      <c r="A37" s="2" t="inlineStr">
        <is>
          <t>6.1</t>
        </is>
      </c>
      <c r="B37" s="9" t="inlineStr">
        <is>
          <t>S6-正文写作</t>
        </is>
      </c>
      <c r="C37" s="2" t="inlineStr"/>
      <c r="D37" s="2" t="inlineStr">
        <is>
          <t>第1-10章初稿</t>
        </is>
      </c>
      <c r="E37" s="2" t="inlineStr"/>
      <c r="F37" s="2" t="inlineStr">
        <is>
          <t>高</t>
        </is>
      </c>
      <c r="G37" s="2" t="inlineStr">
        <is>
          <t>未开始</t>
        </is>
      </c>
      <c r="H37" s="2" t="n">
        <v>30</v>
      </c>
      <c r="I37" s="2" t="n">
        <v>0</v>
      </c>
      <c r="J37" s="2" t="inlineStr"/>
      <c r="K37" s="2" t="inlineStr"/>
      <c r="L37" s="2" t="inlineStr">
        <is>
          <t>5.1</t>
        </is>
      </c>
      <c r="M37" s="2" t="inlineStr">
        <is>
          <t>3万字</t>
        </is>
      </c>
      <c r="N37" s="2" t="inlineStr"/>
      <c r="O37" s="2" t="inlineStr">
        <is>
          <t>3000字/章</t>
        </is>
      </c>
    </row>
    <row r="38">
      <c r="A38" s="2" t="inlineStr">
        <is>
          <t>6.2</t>
        </is>
      </c>
      <c r="B38" s="9" t="inlineStr">
        <is>
          <t>S6-正文写作</t>
        </is>
      </c>
      <c r="C38" s="2" t="inlineStr"/>
      <c r="D38" s="2" t="inlineStr">
        <is>
          <t>第11-20章初稿</t>
        </is>
      </c>
      <c r="E38" s="2" t="inlineStr"/>
      <c r="F38" s="2" t="inlineStr">
        <is>
          <t>高</t>
        </is>
      </c>
      <c r="G38" s="2" t="inlineStr">
        <is>
          <t>未开始</t>
        </is>
      </c>
      <c r="H38" s="2" t="n">
        <v>30</v>
      </c>
      <c r="I38" s="2" t="n">
        <v>0</v>
      </c>
      <c r="J38" s="2" t="inlineStr"/>
      <c r="K38" s="2" t="inlineStr"/>
      <c r="L38" s="2" t="inlineStr">
        <is>
          <t>5.2</t>
        </is>
      </c>
      <c r="M38" s="2" t="inlineStr">
        <is>
          <t>3万字</t>
        </is>
      </c>
      <c r="N38" s="2" t="inlineStr"/>
      <c r="O38" s="2" t="inlineStr"/>
    </row>
    <row r="39">
      <c r="A39" s="2" t="inlineStr">
        <is>
          <t>6.3</t>
        </is>
      </c>
      <c r="B39" s="9" t="inlineStr">
        <is>
          <t>S6-正文写作</t>
        </is>
      </c>
      <c r="C39" s="2" t="inlineStr"/>
      <c r="D39" s="2" t="inlineStr">
        <is>
          <t>第21-30章初稿</t>
        </is>
      </c>
      <c r="E39" s="2" t="inlineStr"/>
      <c r="F39" s="2" t="inlineStr">
        <is>
          <t>高</t>
        </is>
      </c>
      <c r="G39" s="2" t="inlineStr">
        <is>
          <t>未开始</t>
        </is>
      </c>
      <c r="H39" s="2" t="n">
        <v>30</v>
      </c>
      <c r="I39" s="2" t="n">
        <v>0</v>
      </c>
      <c r="J39" s="2" t="inlineStr"/>
      <c r="K39" s="2" t="inlineStr"/>
      <c r="L39" s="2" t="inlineStr">
        <is>
          <t>5.3</t>
        </is>
      </c>
      <c r="M39" s="2" t="inlineStr">
        <is>
          <t>3万字</t>
        </is>
      </c>
      <c r="N39" s="2" t="inlineStr"/>
      <c r="O39" s="2" t="inlineStr"/>
    </row>
    <row r="40">
      <c r="A40" s="2" t="inlineStr">
        <is>
          <t>6.4</t>
        </is>
      </c>
      <c r="B40" s="9" t="inlineStr">
        <is>
          <t>S6-正文写作</t>
        </is>
      </c>
      <c r="C40" s="2" t="inlineStr"/>
      <c r="D40" s="2" t="inlineStr">
        <is>
          <t>第31-40章初稿</t>
        </is>
      </c>
      <c r="E40" s="2" t="inlineStr"/>
      <c r="F40" s="2" t="inlineStr">
        <is>
          <t>高</t>
        </is>
      </c>
      <c r="G40" s="2" t="inlineStr">
        <is>
          <t>未开始</t>
        </is>
      </c>
      <c r="H40" s="2" t="n">
        <v>30</v>
      </c>
      <c r="I40" s="2" t="n">
        <v>0</v>
      </c>
      <c r="J40" s="2" t="inlineStr"/>
      <c r="K40" s="2" t="inlineStr"/>
      <c r="L40" s="2" t="inlineStr">
        <is>
          <t>5.4</t>
        </is>
      </c>
      <c r="M40" s="2" t="inlineStr">
        <is>
          <t>3万字</t>
        </is>
      </c>
      <c r="N40" s="2" t="inlineStr"/>
      <c r="O40" s="2" t="inlineStr"/>
    </row>
    <row r="41">
      <c r="A41" s="2" t="inlineStr">
        <is>
          <t>6.5</t>
        </is>
      </c>
      <c r="B41" s="9" t="inlineStr">
        <is>
          <t>S6-正文写作</t>
        </is>
      </c>
      <c r="C41" s="2" t="inlineStr"/>
      <c r="D41" s="2" t="inlineStr">
        <is>
          <t>第41-50章初稿</t>
        </is>
      </c>
      <c r="E41" s="2" t="inlineStr"/>
      <c r="F41" s="2" t="inlineStr">
        <is>
          <t>高</t>
        </is>
      </c>
      <c r="G41" s="2" t="inlineStr">
        <is>
          <t>未开始</t>
        </is>
      </c>
      <c r="H41" s="2" t="n">
        <v>30</v>
      </c>
      <c r="I41" s="2" t="n">
        <v>0</v>
      </c>
      <c r="J41" s="2" t="inlineStr"/>
      <c r="K41" s="2" t="inlineStr"/>
      <c r="L41" s="2" t="inlineStr">
        <is>
          <t>5.5</t>
        </is>
      </c>
      <c r="M41" s="2" t="inlineStr">
        <is>
          <t>3万字</t>
        </is>
      </c>
      <c r="N41" s="2" t="inlineStr"/>
      <c r="O41" s="2" t="inlineStr"/>
    </row>
    <row r="42">
      <c r="A42" s="2" t="inlineStr">
        <is>
          <t>6.6</t>
        </is>
      </c>
      <c r="B42" s="9" t="inlineStr">
        <is>
          <t>S6-正文写作</t>
        </is>
      </c>
      <c r="C42" s="2" t="inlineStr"/>
      <c r="D42" s="2" t="inlineStr">
        <is>
          <t>第51章+初稿</t>
        </is>
      </c>
      <c r="E42" s="2" t="inlineStr"/>
      <c r="F42" s="2" t="inlineStr">
        <is>
          <t>高</t>
        </is>
      </c>
      <c r="G42" s="2" t="inlineStr">
        <is>
          <t>未开始</t>
        </is>
      </c>
      <c r="H42" s="2" t="n">
        <v>100</v>
      </c>
      <c r="I42" s="2" t="n">
        <v>0</v>
      </c>
      <c r="J42" s="2" t="inlineStr"/>
      <c r="K42" s="2" t="inlineStr"/>
      <c r="L42" s="2" t="inlineStr">
        <is>
          <t>5.6</t>
        </is>
      </c>
      <c r="M42" s="2" t="inlineStr">
        <is>
          <t>10万字</t>
        </is>
      </c>
      <c r="N42" s="2" t="inlineStr"/>
      <c r="O42" s="2" t="inlineStr"/>
    </row>
    <row r="43">
      <c r="A43" s="2" t="inlineStr">
        <is>
          <t>6.7</t>
        </is>
      </c>
      <c r="B43" s="9" t="inlineStr">
        <is>
          <t>S6-正文写作</t>
        </is>
      </c>
      <c r="C43" s="2" t="inlineStr"/>
      <c r="D43" s="2" t="inlineStr">
        <is>
          <t>名词词典维护</t>
        </is>
      </c>
      <c r="E43" s="2" t="inlineStr"/>
      <c r="F43" s="2" t="inlineStr">
        <is>
          <t>中</t>
        </is>
      </c>
      <c r="G43" s="2" t="inlineStr">
        <is>
          <t>未开始</t>
        </is>
      </c>
      <c r="H43" s="2" t="n">
        <v>5</v>
      </c>
      <c r="I43" s="2" t="n">
        <v>0</v>
      </c>
      <c r="J43" s="2" t="inlineStr"/>
      <c r="K43" s="2" t="inlineStr"/>
      <c r="L43" s="2" t="inlineStr">
        <is>
          <t>6.1-6.6</t>
        </is>
      </c>
      <c r="M43" s="2" t="inlineStr">
        <is>
          <t>更新词典</t>
        </is>
      </c>
      <c r="N43" s="2" t="inlineStr"/>
      <c r="O43" s="2" t="inlineStr">
        <is>
          <t>持续</t>
        </is>
      </c>
    </row>
    <row r="44">
      <c r="A44" s="2" t="inlineStr">
        <is>
          <t>6.8</t>
        </is>
      </c>
      <c r="B44" s="9" t="inlineStr">
        <is>
          <t>S6-正文写作</t>
        </is>
      </c>
      <c r="C44" s="2" t="inlineStr"/>
      <c r="D44" s="2" t="inlineStr">
        <is>
          <t>伏笔追踪维护</t>
        </is>
      </c>
      <c r="E44" s="2" t="inlineStr"/>
      <c r="F44" s="2" t="inlineStr">
        <is>
          <t>中</t>
        </is>
      </c>
      <c r="G44" s="2" t="inlineStr">
        <is>
          <t>未开始</t>
        </is>
      </c>
      <c r="H44" s="2" t="n">
        <v>5</v>
      </c>
      <c r="I44" s="2" t="n">
        <v>0</v>
      </c>
      <c r="J44" s="2" t="inlineStr"/>
      <c r="K44" s="2" t="inlineStr"/>
      <c r="L44" s="2" t="inlineStr">
        <is>
          <t>6.1-6.6</t>
        </is>
      </c>
      <c r="M44" s="2" t="inlineStr">
        <is>
          <t>更新追踪</t>
        </is>
      </c>
      <c r="N44" s="2" t="inlineStr"/>
      <c r="O44" s="2" t="inlineStr">
        <is>
          <t>持续</t>
        </is>
      </c>
    </row>
    <row r="45">
      <c r="A45" s="2" t="inlineStr">
        <is>
          <t>7.0</t>
        </is>
      </c>
      <c r="B45" s="10" t="inlineStr">
        <is>
          <t>S7-修订发布</t>
        </is>
      </c>
      <c r="C45" s="2" t="inlineStr">
        <is>
          <t>修订发布</t>
        </is>
      </c>
      <c r="D45" s="2" t="inlineStr"/>
      <c r="E45" s="2" t="inlineStr"/>
      <c r="F45" s="2" t="inlineStr">
        <is>
          <t>高</t>
        </is>
      </c>
      <c r="G45" s="2" t="inlineStr">
        <is>
          <t>未开始</t>
        </is>
      </c>
      <c r="H45" s="2" t="n">
        <v>30</v>
      </c>
      <c r="I45" s="2" t="n">
        <v>0</v>
      </c>
      <c r="J45" s="2" t="inlineStr"/>
      <c r="K45" s="2" t="inlineStr"/>
      <c r="L45" s="2" t="inlineStr"/>
      <c r="M45" s="2" t="inlineStr">
        <is>
          <t>终稿</t>
        </is>
      </c>
      <c r="N45" s="2" t="inlineStr"/>
      <c r="O45" s="2" t="inlineStr"/>
    </row>
    <row r="46">
      <c r="A46" s="2" t="inlineStr">
        <is>
          <t>7.1</t>
        </is>
      </c>
      <c r="B46" s="10" t="inlineStr">
        <is>
          <t>S7-修订发布</t>
        </is>
      </c>
      <c r="C46" s="2" t="inlineStr"/>
      <c r="D46" s="2" t="inlineStr">
        <is>
          <t>结构修订</t>
        </is>
      </c>
      <c r="E46" s="2" t="inlineStr"/>
      <c r="F46" s="2" t="inlineStr">
        <is>
          <t>高</t>
        </is>
      </c>
      <c r="G46" s="2" t="inlineStr">
        <is>
          <t>未开始</t>
        </is>
      </c>
      <c r="H46" s="2" t="n">
        <v>10</v>
      </c>
      <c r="I46" s="2" t="n">
        <v>0</v>
      </c>
      <c r="J46" s="2" t="inlineStr"/>
      <c r="K46" s="2" t="inlineStr"/>
      <c r="L46" s="2" t="inlineStr">
        <is>
          <t>6.0</t>
        </is>
      </c>
      <c r="M46" s="2" t="inlineStr">
        <is>
          <t>结构报告</t>
        </is>
      </c>
      <c r="N46" s="2" t="inlineStr"/>
      <c r="O46" s="2" t="inlineStr">
        <is>
          <t>砍掉20%</t>
        </is>
      </c>
    </row>
    <row r="47">
      <c r="A47" s="2" t="inlineStr">
        <is>
          <t>7.2</t>
        </is>
      </c>
      <c r="B47" s="10" t="inlineStr">
        <is>
          <t>S7-修订发布</t>
        </is>
      </c>
      <c r="C47" s="2" t="inlineStr"/>
      <c r="D47" s="2" t="inlineStr">
        <is>
          <t>语言修订</t>
        </is>
      </c>
      <c r="E47" s="2" t="inlineStr"/>
      <c r="F47" s="2" t="inlineStr">
        <is>
          <t>高</t>
        </is>
      </c>
      <c r="G47" s="2" t="inlineStr">
        <is>
          <t>未开始</t>
        </is>
      </c>
      <c r="H47" s="2" t="n">
        <v>10</v>
      </c>
      <c r="I47" s="2" t="n">
        <v>0</v>
      </c>
      <c r="J47" s="2" t="inlineStr"/>
      <c r="K47" s="2" t="inlineStr"/>
      <c r="L47" s="2" t="inlineStr">
        <is>
          <t>7.1</t>
        </is>
      </c>
      <c r="M47" s="2" t="inlineStr">
        <is>
          <t>语言报告</t>
        </is>
      </c>
      <c r="N47" s="2" t="inlineStr"/>
      <c r="O47" s="2" t="inlineStr"/>
    </row>
    <row r="48">
      <c r="A48" s="2" t="inlineStr">
        <is>
          <t>7.3</t>
        </is>
      </c>
      <c r="B48" s="10" t="inlineStr">
        <is>
          <t>S7-修订发布</t>
        </is>
      </c>
      <c r="C48" s="2" t="inlineStr"/>
      <c r="D48" s="2" t="inlineStr">
        <is>
          <t>一致性检查</t>
        </is>
      </c>
      <c r="E48" s="2" t="inlineStr"/>
      <c r="F48" s="2" t="inlineStr">
        <is>
          <t>高</t>
        </is>
      </c>
      <c r="G48" s="2" t="inlineStr">
        <is>
          <t>未开始</t>
        </is>
      </c>
      <c r="H48" s="2" t="n">
        <v>5</v>
      </c>
      <c r="I48" s="2" t="n">
        <v>0</v>
      </c>
      <c r="J48" s="2" t="inlineStr"/>
      <c r="K48" s="2" t="inlineStr"/>
      <c r="L48" s="2" t="inlineStr">
        <is>
          <t>7.2</t>
        </is>
      </c>
      <c r="M48" s="2" t="inlineStr">
        <is>
          <t>一致性报告</t>
        </is>
      </c>
      <c r="N48" s="2" t="inlineStr"/>
      <c r="O48" s="2" t="inlineStr"/>
    </row>
    <row r="49">
      <c r="A49" s="2" t="inlineStr">
        <is>
          <t>7.4</t>
        </is>
      </c>
      <c r="B49" s="10" t="inlineStr">
        <is>
          <t>S7-修订发布</t>
        </is>
      </c>
      <c r="C49" s="2" t="inlineStr"/>
      <c r="D49" s="2" t="inlineStr">
        <is>
          <t>发布前检查清单</t>
        </is>
      </c>
      <c r="E49" s="2" t="inlineStr"/>
      <c r="F49" s="2" t="inlineStr">
        <is>
          <t>高</t>
        </is>
      </c>
      <c r="G49" s="2" t="inlineStr">
        <is>
          <t>未开始</t>
        </is>
      </c>
      <c r="H49" s="2" t="n">
        <v>2</v>
      </c>
      <c r="I49" s="2" t="n">
        <v>0</v>
      </c>
      <c r="J49" s="2" t="inlineStr"/>
      <c r="K49" s="2" t="inlineStr"/>
      <c r="L49" s="2" t="inlineStr">
        <is>
          <t>7.3</t>
        </is>
      </c>
      <c r="M49" s="2" t="inlineStr">
        <is>
          <t>检查清单(10项)</t>
        </is>
      </c>
      <c r="N49" s="2" t="inlineStr"/>
      <c r="O49" s="2" t="inlineStr"/>
    </row>
    <row r="50">
      <c r="A50" s="2" t="inlineStr">
        <is>
          <t>7.5</t>
        </is>
      </c>
      <c r="B50" s="10" t="inlineStr">
        <is>
          <t>S7-修订发布</t>
        </is>
      </c>
      <c r="C50" s="2" t="inlineStr"/>
      <c r="D50" s="2" t="inlineStr">
        <is>
          <t>正式发布</t>
        </is>
      </c>
      <c r="E50" s="2" t="inlineStr"/>
      <c r="F50" s="2" t="inlineStr">
        <is>
          <t>高</t>
        </is>
      </c>
      <c r="G50" s="2" t="inlineStr">
        <is>
          <t>未开始</t>
        </is>
      </c>
      <c r="H50" s="2" t="n">
        <v>3</v>
      </c>
      <c r="I50" s="2" t="n">
        <v>0</v>
      </c>
      <c r="J50" s="2" t="inlineStr"/>
      <c r="K50" s="2" t="inlineStr"/>
      <c r="L50" s="2" t="inlineStr">
        <is>
          <t>7.4</t>
        </is>
      </c>
      <c r="M50" s="2" t="inlineStr">
        <is>
          <t>已发布章节</t>
        </is>
      </c>
      <c r="N50" s="2" t="inlineStr"/>
      <c r="O50" s="2" t="inlineStr"/>
    </row>
    <row r="51"/>
    <row r="52">
      <c r="A52" s="11" t="inlineStr">
        <is>
          <t>合计</t>
        </is>
      </c>
      <c r="B52" s="11" t="n"/>
      <c r="C52" s="11" t="n"/>
      <c r="D52" s="11" t="n"/>
      <c r="E52" s="11" t="n"/>
      <c r="F52" s="11" t="n"/>
      <c r="G52" s="11" t="n"/>
      <c r="H52" s="11">
        <f>SUM(H2:H51)</f>
        <v/>
      </c>
      <c r="I52" s="11">
        <f>SUM(I2:I51)</f>
        <v/>
      </c>
      <c r="J52" s="11">
        <f>IF(I52&gt;0,ROUND(H52/I52,2),"N/A")</f>
        <v/>
      </c>
      <c r="K52" s="11" t="n"/>
      <c r="L52" s="11" t="n"/>
      <c r="M52" s="11" t="n"/>
      <c r="N52" s="11" t="n"/>
      <c r="O52" s="11" t="n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27AE60"/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5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章号</t>
        </is>
      </c>
      <c r="B1" s="1" t="inlineStr">
        <is>
          <t>标题</t>
        </is>
      </c>
      <c r="C1" s="1" t="inlineStr">
        <is>
          <t>类型</t>
        </is>
      </c>
      <c r="D1" s="1" t="inlineStr">
        <is>
          <t>爽点标签</t>
        </is>
      </c>
      <c r="E1" s="1" t="inlineStr">
        <is>
          <t>目标字数</t>
        </is>
      </c>
      <c r="F1" s="1" t="inlineStr">
        <is>
          <t>实际字数</t>
        </is>
      </c>
      <c r="G1" s="1" t="inlineStr">
        <is>
          <t>完成度</t>
        </is>
      </c>
      <c r="H1" s="1" t="inlineStr">
        <is>
          <t>埋设伏笔</t>
        </is>
      </c>
      <c r="I1" s="1" t="inlineStr">
        <is>
          <t>回收伏笔</t>
        </is>
      </c>
      <c r="J1" s="1" t="inlineStr">
        <is>
          <t>新增名词</t>
        </is>
      </c>
      <c r="K1" s="1" t="inlineStr">
        <is>
          <t>状态</t>
        </is>
      </c>
      <c r="L1" s="1" t="inlineStr">
        <is>
          <t>质量评分</t>
        </is>
      </c>
      <c r="M1" s="1" t="inlineStr">
        <is>
          <t>备注</t>
        </is>
      </c>
    </row>
    <row r="2">
      <c r="A2" s="2" t="n">
        <v>1</v>
      </c>
      <c r="B2" s="2" t="n"/>
      <c r="C2" s="2" t="inlineStr">
        <is>
          <t>日常章</t>
        </is>
      </c>
      <c r="D2" s="2" t="n"/>
      <c r="E2" s="2" t="n">
        <v>3000</v>
      </c>
      <c r="F2" s="2" t="n"/>
      <c r="G2" s="3">
        <f>IF(F2&gt;0,F2/E2,0)</f>
        <v/>
      </c>
      <c r="H2" s="2" t="n"/>
      <c r="I2" s="2" t="n"/>
      <c r="J2" s="2" t="n"/>
      <c r="K2" s="2" t="n"/>
      <c r="L2" s="2" t="n"/>
      <c r="M2" s="2" t="n"/>
    </row>
    <row r="3">
      <c r="A3" s="2" t="n">
        <v>2</v>
      </c>
      <c r="B3" s="2" t="n"/>
      <c r="C3" s="2" t="inlineStr">
        <is>
          <t>日常章</t>
        </is>
      </c>
      <c r="D3" s="2" t="n"/>
      <c r="E3" s="2" t="n">
        <v>3000</v>
      </c>
      <c r="F3" s="2" t="n"/>
      <c r="G3" s="3">
        <f>IF(F3&gt;0,F3/E3,0)</f>
        <v/>
      </c>
      <c r="H3" s="2" t="n"/>
      <c r="I3" s="2" t="n"/>
      <c r="J3" s="2" t="n"/>
      <c r="K3" s="2" t="n"/>
      <c r="L3" s="2" t="n"/>
      <c r="M3" s="2" t="n"/>
    </row>
    <row r="4">
      <c r="A4" s="2" t="n">
        <v>3</v>
      </c>
      <c r="B4" s="2" t="n"/>
      <c r="C4" s="2" t="inlineStr">
        <is>
          <t>日常章</t>
        </is>
      </c>
      <c r="D4" s="2" t="n"/>
      <c r="E4" s="2" t="n">
        <v>3000</v>
      </c>
      <c r="F4" s="2" t="n"/>
      <c r="G4" s="3">
        <f>IF(F4&gt;0,F4/E4,0)</f>
        <v/>
      </c>
      <c r="H4" s="2" t="n"/>
      <c r="I4" s="2" t="n"/>
      <c r="J4" s="2" t="n"/>
      <c r="K4" s="2" t="n"/>
      <c r="L4" s="2" t="n"/>
      <c r="M4" s="2" t="n"/>
    </row>
    <row r="5">
      <c r="A5" s="2" t="n">
        <v>4</v>
      </c>
      <c r="B5" s="2" t="n"/>
      <c r="C5" s="2" t="inlineStr">
        <is>
          <t>日常章</t>
        </is>
      </c>
      <c r="D5" s="2" t="n"/>
      <c r="E5" s="2" t="n">
        <v>3000</v>
      </c>
      <c r="F5" s="2" t="n"/>
      <c r="G5" s="3">
        <f>IF(F5&gt;0,F5/E5,0)</f>
        <v/>
      </c>
      <c r="H5" s="2" t="n"/>
      <c r="I5" s="2" t="n"/>
      <c r="J5" s="2" t="n"/>
      <c r="K5" s="2" t="n"/>
      <c r="L5" s="2" t="n"/>
      <c r="M5" s="2" t="n"/>
    </row>
    <row r="6">
      <c r="A6" s="2" t="n">
        <v>5</v>
      </c>
      <c r="B6" s="2" t="n"/>
      <c r="C6" s="2" t="inlineStr">
        <is>
          <t>日常章</t>
        </is>
      </c>
      <c r="D6" s="2" t="n"/>
      <c r="E6" s="2" t="n">
        <v>3000</v>
      </c>
      <c r="F6" s="2" t="n"/>
      <c r="G6" s="3">
        <f>IF(F6&gt;0,F6/E6,0)</f>
        <v/>
      </c>
      <c r="H6" s="2" t="n"/>
      <c r="I6" s="2" t="n"/>
      <c r="J6" s="2" t="n"/>
      <c r="K6" s="2" t="n"/>
      <c r="L6" s="2" t="n"/>
      <c r="M6" s="2" t="n"/>
    </row>
    <row r="7">
      <c r="A7" s="2" t="n">
        <v>6</v>
      </c>
      <c r="B7" s="2" t="n"/>
      <c r="C7" s="2" t="inlineStr">
        <is>
          <t>日常章</t>
        </is>
      </c>
      <c r="D7" s="2" t="n"/>
      <c r="E7" s="2" t="n">
        <v>3000</v>
      </c>
      <c r="F7" s="2" t="n"/>
      <c r="G7" s="3">
        <f>IF(F7&gt;0,F7/E7,0)</f>
        <v/>
      </c>
      <c r="H7" s="2" t="n"/>
      <c r="I7" s="2" t="n"/>
      <c r="J7" s="2" t="n"/>
      <c r="K7" s="2" t="n"/>
      <c r="L7" s="2" t="n"/>
      <c r="M7" s="2" t="n"/>
    </row>
    <row r="8">
      <c r="A8" s="2" t="n">
        <v>7</v>
      </c>
      <c r="B8" s="2" t="n"/>
      <c r="C8" s="2" t="inlineStr">
        <is>
          <t>日常章</t>
        </is>
      </c>
      <c r="D8" s="2" t="n"/>
      <c r="E8" s="2" t="n">
        <v>3000</v>
      </c>
      <c r="F8" s="2" t="n"/>
      <c r="G8" s="3">
        <f>IF(F8&gt;0,F8/E8,0)</f>
        <v/>
      </c>
      <c r="H8" s="2" t="n"/>
      <c r="I8" s="2" t="n"/>
      <c r="J8" s="2" t="n"/>
      <c r="K8" s="2" t="n"/>
      <c r="L8" s="2" t="n"/>
      <c r="M8" s="2" t="n"/>
    </row>
    <row r="9">
      <c r="A9" s="2" t="n">
        <v>8</v>
      </c>
      <c r="B9" s="2" t="n"/>
      <c r="C9" s="2" t="inlineStr">
        <is>
          <t>日常章</t>
        </is>
      </c>
      <c r="D9" s="2" t="n"/>
      <c r="E9" s="2" t="n">
        <v>3000</v>
      </c>
      <c r="F9" s="2" t="n"/>
      <c r="G9" s="3">
        <f>IF(F9&gt;0,F9/E9,0)</f>
        <v/>
      </c>
      <c r="H9" s="2" t="n"/>
      <c r="I9" s="2" t="n"/>
      <c r="J9" s="2" t="n"/>
      <c r="K9" s="2" t="n"/>
      <c r="L9" s="2" t="n"/>
      <c r="M9" s="2" t="n"/>
    </row>
    <row r="10">
      <c r="A10" s="2" t="n">
        <v>9</v>
      </c>
      <c r="B10" s="2" t="n"/>
      <c r="C10" s="2" t="inlineStr">
        <is>
          <t>日常章</t>
        </is>
      </c>
      <c r="D10" s="2" t="n"/>
      <c r="E10" s="2" t="n">
        <v>3000</v>
      </c>
      <c r="F10" s="2" t="n"/>
      <c r="G10" s="3">
        <f>IF(F10&gt;0,F10/E10,0)</f>
        <v/>
      </c>
      <c r="H10" s="2" t="n"/>
      <c r="I10" s="2" t="n"/>
      <c r="J10" s="2" t="n"/>
      <c r="K10" s="2" t="n"/>
      <c r="L10" s="2" t="n"/>
      <c r="M10" s="2" t="n"/>
    </row>
    <row r="11">
      <c r="A11" s="2" t="n">
        <v>10</v>
      </c>
      <c r="B11" s="2" t="n"/>
      <c r="C11" s="2" t="inlineStr">
        <is>
          <t>日常章</t>
        </is>
      </c>
      <c r="D11" s="2" t="n"/>
      <c r="E11" s="2" t="n">
        <v>3000</v>
      </c>
      <c r="F11" s="2" t="n"/>
      <c r="G11" s="3">
        <f>IF(F11&gt;0,F11/E11,0)</f>
        <v/>
      </c>
      <c r="H11" s="2" t="n"/>
      <c r="I11" s="2" t="n"/>
      <c r="J11" s="2" t="n"/>
      <c r="K11" s="2" t="n"/>
      <c r="L11" s="2" t="n"/>
      <c r="M11" s="2" t="n"/>
    </row>
    <row r="12">
      <c r="A12" s="2" t="n">
        <v>11</v>
      </c>
      <c r="B12" s="2" t="n"/>
      <c r="C12" s="2" t="inlineStr">
        <is>
          <t>日常章</t>
        </is>
      </c>
      <c r="D12" s="2" t="n"/>
      <c r="E12" s="2" t="n">
        <v>3000</v>
      </c>
      <c r="F12" s="2" t="n"/>
      <c r="G12" s="3">
        <f>IF(F12&gt;0,F12/E12,0)</f>
        <v/>
      </c>
      <c r="H12" s="2" t="n"/>
      <c r="I12" s="2" t="n"/>
      <c r="J12" s="2" t="n"/>
      <c r="K12" s="2" t="n"/>
      <c r="L12" s="2" t="n"/>
      <c r="M12" s="2" t="n"/>
    </row>
    <row r="13">
      <c r="A13" s="2" t="n">
        <v>12</v>
      </c>
      <c r="B13" s="2" t="n"/>
      <c r="C13" s="2" t="inlineStr">
        <is>
          <t>日常章</t>
        </is>
      </c>
      <c r="D13" s="2" t="n"/>
      <c r="E13" s="2" t="n">
        <v>3000</v>
      </c>
      <c r="F13" s="2" t="n"/>
      <c r="G13" s="3">
        <f>IF(F13&gt;0,F13/E13,0)</f>
        <v/>
      </c>
      <c r="H13" s="2" t="n"/>
      <c r="I13" s="2" t="n"/>
      <c r="J13" s="2" t="n"/>
      <c r="K13" s="2" t="n"/>
      <c r="L13" s="2" t="n"/>
      <c r="M13" s="2" t="n"/>
    </row>
    <row r="14">
      <c r="A14" s="2" t="n">
        <v>13</v>
      </c>
      <c r="B14" s="2" t="n"/>
      <c r="C14" s="2" t="inlineStr">
        <is>
          <t>日常章</t>
        </is>
      </c>
      <c r="D14" s="2" t="n"/>
      <c r="E14" s="2" t="n">
        <v>3000</v>
      </c>
      <c r="F14" s="2" t="n"/>
      <c r="G14" s="3">
        <f>IF(F14&gt;0,F14/E14,0)</f>
        <v/>
      </c>
      <c r="H14" s="2" t="n"/>
      <c r="I14" s="2" t="n"/>
      <c r="J14" s="2" t="n"/>
      <c r="K14" s="2" t="n"/>
      <c r="L14" s="2" t="n"/>
      <c r="M14" s="2" t="n"/>
    </row>
    <row r="15">
      <c r="A15" s="2" t="n">
        <v>14</v>
      </c>
      <c r="B15" s="2" t="n"/>
      <c r="C15" s="2" t="inlineStr">
        <is>
          <t>日常章</t>
        </is>
      </c>
      <c r="D15" s="2" t="n"/>
      <c r="E15" s="2" t="n">
        <v>3000</v>
      </c>
      <c r="F15" s="2" t="n"/>
      <c r="G15" s="3">
        <f>IF(F15&gt;0,F15/E15,0)</f>
        <v/>
      </c>
      <c r="H15" s="2" t="n"/>
      <c r="I15" s="2" t="n"/>
      <c r="J15" s="2" t="n"/>
      <c r="K15" s="2" t="n"/>
      <c r="L15" s="2" t="n"/>
      <c r="M15" s="2" t="n"/>
    </row>
    <row r="16">
      <c r="A16" s="2" t="n">
        <v>15</v>
      </c>
      <c r="B16" s="2" t="n"/>
      <c r="C16" s="2" t="inlineStr">
        <is>
          <t>日常章</t>
        </is>
      </c>
      <c r="D16" s="2" t="n"/>
      <c r="E16" s="2" t="n">
        <v>3000</v>
      </c>
      <c r="F16" s="2" t="n"/>
      <c r="G16" s="3">
        <f>IF(F16&gt;0,F16/E16,0)</f>
        <v/>
      </c>
      <c r="H16" s="2" t="n"/>
      <c r="I16" s="2" t="n"/>
      <c r="J16" s="2" t="n"/>
      <c r="K16" s="2" t="n"/>
      <c r="L16" s="2" t="n"/>
      <c r="M16" s="2" t="n"/>
    </row>
    <row r="17">
      <c r="A17" s="2" t="n">
        <v>16</v>
      </c>
      <c r="B17" s="2" t="n"/>
      <c r="C17" s="2" t="inlineStr">
        <is>
          <t>日常章</t>
        </is>
      </c>
      <c r="D17" s="2" t="n"/>
      <c r="E17" s="2" t="n">
        <v>3000</v>
      </c>
      <c r="F17" s="2" t="n"/>
      <c r="G17" s="3">
        <f>IF(F17&gt;0,F17/E17,0)</f>
        <v/>
      </c>
      <c r="H17" s="2" t="n"/>
      <c r="I17" s="2" t="n"/>
      <c r="J17" s="2" t="n"/>
      <c r="K17" s="2" t="n"/>
      <c r="L17" s="2" t="n"/>
      <c r="M17" s="2" t="n"/>
    </row>
    <row r="18">
      <c r="A18" s="2" t="n">
        <v>17</v>
      </c>
      <c r="B18" s="2" t="n"/>
      <c r="C18" s="2" t="inlineStr">
        <is>
          <t>日常章</t>
        </is>
      </c>
      <c r="D18" s="2" t="n"/>
      <c r="E18" s="2" t="n">
        <v>3000</v>
      </c>
      <c r="F18" s="2" t="n"/>
      <c r="G18" s="3">
        <f>IF(F18&gt;0,F18/E18,0)</f>
        <v/>
      </c>
      <c r="H18" s="2" t="n"/>
      <c r="I18" s="2" t="n"/>
      <c r="J18" s="2" t="n"/>
      <c r="K18" s="2" t="n"/>
      <c r="L18" s="2" t="n"/>
      <c r="M18" s="2" t="n"/>
    </row>
    <row r="19">
      <c r="A19" s="2" t="n">
        <v>18</v>
      </c>
      <c r="B19" s="2" t="n"/>
      <c r="C19" s="2" t="inlineStr">
        <is>
          <t>日常章</t>
        </is>
      </c>
      <c r="D19" s="2" t="n"/>
      <c r="E19" s="2" t="n">
        <v>3000</v>
      </c>
      <c r="F19" s="2" t="n"/>
      <c r="G19" s="3">
        <f>IF(F19&gt;0,F19/E19,0)</f>
        <v/>
      </c>
      <c r="H19" s="2" t="n"/>
      <c r="I19" s="2" t="n"/>
      <c r="J19" s="2" t="n"/>
      <c r="K19" s="2" t="n"/>
      <c r="L19" s="2" t="n"/>
      <c r="M19" s="2" t="n"/>
    </row>
    <row r="20">
      <c r="A20" s="2" t="n">
        <v>19</v>
      </c>
      <c r="B20" s="2" t="n"/>
      <c r="C20" s="2" t="inlineStr">
        <is>
          <t>日常章</t>
        </is>
      </c>
      <c r="D20" s="2" t="n"/>
      <c r="E20" s="2" t="n">
        <v>3000</v>
      </c>
      <c r="F20" s="2" t="n"/>
      <c r="G20" s="3">
        <f>IF(F20&gt;0,F20/E20,0)</f>
        <v/>
      </c>
      <c r="H20" s="2" t="n"/>
      <c r="I20" s="2" t="n"/>
      <c r="J20" s="2" t="n"/>
      <c r="K20" s="2" t="n"/>
      <c r="L20" s="2" t="n"/>
      <c r="M20" s="2" t="n"/>
    </row>
    <row r="21">
      <c r="A21" s="2" t="n">
        <v>20</v>
      </c>
      <c r="B21" s="2" t="n"/>
      <c r="C21" s="2" t="inlineStr">
        <is>
          <t>日常章</t>
        </is>
      </c>
      <c r="D21" s="2" t="n"/>
      <c r="E21" s="2" t="n">
        <v>3000</v>
      </c>
      <c r="F21" s="2" t="n"/>
      <c r="G21" s="3">
        <f>IF(F21&gt;0,F21/E21,0)</f>
        <v/>
      </c>
      <c r="H21" s="2" t="n"/>
      <c r="I21" s="2" t="n"/>
      <c r="J21" s="2" t="n"/>
      <c r="K21" s="2" t="n"/>
      <c r="L21" s="2" t="n"/>
      <c r="M21" s="2" t="n"/>
    </row>
    <row r="22">
      <c r="A22" s="2" t="n">
        <v>21</v>
      </c>
      <c r="B22" s="2" t="n"/>
      <c r="C22" s="2" t="inlineStr">
        <is>
          <t>日常章</t>
        </is>
      </c>
      <c r="D22" s="2" t="n"/>
      <c r="E22" s="2" t="n">
        <v>3000</v>
      </c>
      <c r="F22" s="2" t="n"/>
      <c r="G22" s="3">
        <f>IF(F22&gt;0,F22/E22,0)</f>
        <v/>
      </c>
      <c r="H22" s="2" t="n"/>
      <c r="I22" s="2" t="n"/>
      <c r="J22" s="2" t="n"/>
      <c r="K22" s="2" t="n"/>
      <c r="L22" s="2" t="n"/>
      <c r="M22" s="2" t="n"/>
    </row>
    <row r="23">
      <c r="A23" s="2" t="n">
        <v>22</v>
      </c>
      <c r="B23" s="2" t="n"/>
      <c r="C23" s="2" t="inlineStr">
        <is>
          <t>日常章</t>
        </is>
      </c>
      <c r="D23" s="2" t="n"/>
      <c r="E23" s="2" t="n">
        <v>3000</v>
      </c>
      <c r="F23" s="2" t="n"/>
      <c r="G23" s="3">
        <f>IF(F23&gt;0,F23/E23,0)</f>
        <v/>
      </c>
      <c r="H23" s="2" t="n"/>
      <c r="I23" s="2" t="n"/>
      <c r="J23" s="2" t="n"/>
      <c r="K23" s="2" t="n"/>
      <c r="L23" s="2" t="n"/>
      <c r="M23" s="2" t="n"/>
    </row>
    <row r="24">
      <c r="A24" s="2" t="n">
        <v>23</v>
      </c>
      <c r="B24" s="2" t="n"/>
      <c r="C24" s="2" t="inlineStr">
        <is>
          <t>日常章</t>
        </is>
      </c>
      <c r="D24" s="2" t="n"/>
      <c r="E24" s="2" t="n">
        <v>3000</v>
      </c>
      <c r="F24" s="2" t="n"/>
      <c r="G24" s="3">
        <f>IF(F24&gt;0,F24/E24,0)</f>
        <v/>
      </c>
      <c r="H24" s="2" t="n"/>
      <c r="I24" s="2" t="n"/>
      <c r="J24" s="2" t="n"/>
      <c r="K24" s="2" t="n"/>
      <c r="L24" s="2" t="n"/>
      <c r="M24" s="2" t="n"/>
    </row>
    <row r="25">
      <c r="A25" s="2" t="n">
        <v>24</v>
      </c>
      <c r="B25" s="2" t="n"/>
      <c r="C25" s="2" t="inlineStr">
        <is>
          <t>日常章</t>
        </is>
      </c>
      <c r="D25" s="2" t="n"/>
      <c r="E25" s="2" t="n">
        <v>3000</v>
      </c>
      <c r="F25" s="2" t="n"/>
      <c r="G25" s="3">
        <f>IF(F25&gt;0,F25/E25,0)</f>
        <v/>
      </c>
      <c r="H25" s="2" t="n"/>
      <c r="I25" s="2" t="n"/>
      <c r="J25" s="2" t="n"/>
      <c r="K25" s="2" t="n"/>
      <c r="L25" s="2" t="n"/>
      <c r="M25" s="2" t="n"/>
    </row>
    <row r="26">
      <c r="A26" s="2" t="n">
        <v>25</v>
      </c>
      <c r="B26" s="2" t="n"/>
      <c r="C26" s="2" t="inlineStr">
        <is>
          <t>日常章</t>
        </is>
      </c>
      <c r="D26" s="2" t="n"/>
      <c r="E26" s="2" t="n">
        <v>3000</v>
      </c>
      <c r="F26" s="2" t="n"/>
      <c r="G26" s="3">
        <f>IF(F26&gt;0,F26/E26,0)</f>
        <v/>
      </c>
      <c r="H26" s="2" t="n"/>
      <c r="I26" s="2" t="n"/>
      <c r="J26" s="2" t="n"/>
      <c r="K26" s="2" t="n"/>
      <c r="L26" s="2" t="n"/>
      <c r="M26" s="2" t="n"/>
    </row>
    <row r="27">
      <c r="A27" s="2" t="n">
        <v>26</v>
      </c>
      <c r="B27" s="2" t="n"/>
      <c r="C27" s="2" t="inlineStr">
        <is>
          <t>日常章</t>
        </is>
      </c>
      <c r="D27" s="2" t="n"/>
      <c r="E27" s="2" t="n">
        <v>3000</v>
      </c>
      <c r="F27" s="2" t="n"/>
      <c r="G27" s="3">
        <f>IF(F27&gt;0,F27/E27,0)</f>
        <v/>
      </c>
      <c r="H27" s="2" t="n"/>
      <c r="I27" s="2" t="n"/>
      <c r="J27" s="2" t="n"/>
      <c r="K27" s="2" t="n"/>
      <c r="L27" s="2" t="n"/>
      <c r="M27" s="2" t="n"/>
    </row>
    <row r="28">
      <c r="A28" s="2" t="n">
        <v>27</v>
      </c>
      <c r="B28" s="2" t="n"/>
      <c r="C28" s="2" t="inlineStr">
        <is>
          <t>日常章</t>
        </is>
      </c>
      <c r="D28" s="2" t="n"/>
      <c r="E28" s="2" t="n">
        <v>3000</v>
      </c>
      <c r="F28" s="2" t="n"/>
      <c r="G28" s="3">
        <f>IF(F28&gt;0,F28/E28,0)</f>
        <v/>
      </c>
      <c r="H28" s="2" t="n"/>
      <c r="I28" s="2" t="n"/>
      <c r="J28" s="2" t="n"/>
      <c r="K28" s="2" t="n"/>
      <c r="L28" s="2" t="n"/>
      <c r="M28" s="2" t="n"/>
    </row>
    <row r="29">
      <c r="A29" s="2" t="n">
        <v>28</v>
      </c>
      <c r="B29" s="2" t="n"/>
      <c r="C29" s="2" t="inlineStr">
        <is>
          <t>日常章</t>
        </is>
      </c>
      <c r="D29" s="2" t="n"/>
      <c r="E29" s="2" t="n">
        <v>3000</v>
      </c>
      <c r="F29" s="2" t="n"/>
      <c r="G29" s="3">
        <f>IF(F29&gt;0,F29/E29,0)</f>
        <v/>
      </c>
      <c r="H29" s="2" t="n"/>
      <c r="I29" s="2" t="n"/>
      <c r="J29" s="2" t="n"/>
      <c r="K29" s="2" t="n"/>
      <c r="L29" s="2" t="n"/>
      <c r="M29" s="2" t="n"/>
    </row>
    <row r="30">
      <c r="A30" s="2" t="n">
        <v>29</v>
      </c>
      <c r="B30" s="2" t="n"/>
      <c r="C30" s="2" t="inlineStr">
        <is>
          <t>日常章</t>
        </is>
      </c>
      <c r="D30" s="2" t="n"/>
      <c r="E30" s="2" t="n">
        <v>3000</v>
      </c>
      <c r="F30" s="2" t="n"/>
      <c r="G30" s="3">
        <f>IF(F30&gt;0,F30/E30,0)</f>
        <v/>
      </c>
      <c r="H30" s="2" t="n"/>
      <c r="I30" s="2" t="n"/>
      <c r="J30" s="2" t="n"/>
      <c r="K30" s="2" t="n"/>
      <c r="L30" s="2" t="n"/>
      <c r="M30" s="2" t="n"/>
    </row>
    <row r="31">
      <c r="A31" s="2" t="n">
        <v>30</v>
      </c>
      <c r="B31" s="2" t="n"/>
      <c r="C31" s="2" t="inlineStr">
        <is>
          <t>日常章</t>
        </is>
      </c>
      <c r="D31" s="2" t="n"/>
      <c r="E31" s="2" t="n">
        <v>3000</v>
      </c>
      <c r="F31" s="2" t="n"/>
      <c r="G31" s="3">
        <f>IF(F31&gt;0,F31/E31,0)</f>
        <v/>
      </c>
      <c r="H31" s="2" t="n"/>
      <c r="I31" s="2" t="n"/>
      <c r="J31" s="2" t="n"/>
      <c r="K31" s="2" t="n"/>
      <c r="L31" s="2" t="n"/>
      <c r="M31" s="2" t="n"/>
    </row>
    <row r="32">
      <c r="A32" s="2" t="n">
        <v>31</v>
      </c>
      <c r="B32" s="2" t="n"/>
      <c r="C32" s="2" t="inlineStr">
        <is>
          <t>日常章</t>
        </is>
      </c>
      <c r="D32" s="2" t="n"/>
      <c r="E32" s="2" t="n">
        <v>3000</v>
      </c>
      <c r="F32" s="2" t="n"/>
      <c r="G32" s="3">
        <f>IF(F32&gt;0,F32/E32,0)</f>
        <v/>
      </c>
      <c r="H32" s="2" t="n"/>
      <c r="I32" s="2" t="n"/>
      <c r="J32" s="2" t="n"/>
      <c r="K32" s="2" t="n"/>
      <c r="L32" s="2" t="n"/>
      <c r="M32" s="2" t="n"/>
    </row>
    <row r="33">
      <c r="A33" s="2" t="n">
        <v>32</v>
      </c>
      <c r="B33" s="2" t="n"/>
      <c r="C33" s="2" t="inlineStr">
        <is>
          <t>日常章</t>
        </is>
      </c>
      <c r="D33" s="2" t="n"/>
      <c r="E33" s="2" t="n">
        <v>3000</v>
      </c>
      <c r="F33" s="2" t="n"/>
      <c r="G33" s="3">
        <f>IF(F33&gt;0,F33/E33,0)</f>
        <v/>
      </c>
      <c r="H33" s="2" t="n"/>
      <c r="I33" s="2" t="n"/>
      <c r="J33" s="2" t="n"/>
      <c r="K33" s="2" t="n"/>
      <c r="L33" s="2" t="n"/>
      <c r="M33" s="2" t="n"/>
    </row>
    <row r="34">
      <c r="A34" s="2" t="n">
        <v>33</v>
      </c>
      <c r="B34" s="2" t="n"/>
      <c r="C34" s="2" t="inlineStr">
        <is>
          <t>日常章</t>
        </is>
      </c>
      <c r="D34" s="2" t="n"/>
      <c r="E34" s="2" t="n">
        <v>3000</v>
      </c>
      <c r="F34" s="2" t="n"/>
      <c r="G34" s="3">
        <f>IF(F34&gt;0,F34/E34,0)</f>
        <v/>
      </c>
      <c r="H34" s="2" t="n"/>
      <c r="I34" s="2" t="n"/>
      <c r="J34" s="2" t="n"/>
      <c r="K34" s="2" t="n"/>
      <c r="L34" s="2" t="n"/>
      <c r="M34" s="2" t="n"/>
    </row>
    <row r="35">
      <c r="A35" s="2" t="n">
        <v>34</v>
      </c>
      <c r="B35" s="2" t="n"/>
      <c r="C35" s="2" t="inlineStr">
        <is>
          <t>日常章</t>
        </is>
      </c>
      <c r="D35" s="2" t="n"/>
      <c r="E35" s="2" t="n">
        <v>3000</v>
      </c>
      <c r="F35" s="2" t="n"/>
      <c r="G35" s="3">
        <f>IF(F35&gt;0,F35/E35,0)</f>
        <v/>
      </c>
      <c r="H35" s="2" t="n"/>
      <c r="I35" s="2" t="n"/>
      <c r="J35" s="2" t="n"/>
      <c r="K35" s="2" t="n"/>
      <c r="L35" s="2" t="n"/>
      <c r="M35" s="2" t="n"/>
    </row>
    <row r="36">
      <c r="A36" s="2" t="n">
        <v>35</v>
      </c>
      <c r="B36" s="2" t="n"/>
      <c r="C36" s="2" t="inlineStr">
        <is>
          <t>日常章</t>
        </is>
      </c>
      <c r="D36" s="2" t="n"/>
      <c r="E36" s="2" t="n">
        <v>3000</v>
      </c>
      <c r="F36" s="2" t="n"/>
      <c r="G36" s="3">
        <f>IF(F36&gt;0,F36/E36,0)</f>
        <v/>
      </c>
      <c r="H36" s="2" t="n"/>
      <c r="I36" s="2" t="n"/>
      <c r="J36" s="2" t="n"/>
      <c r="K36" s="2" t="n"/>
      <c r="L36" s="2" t="n"/>
      <c r="M36" s="2" t="n"/>
    </row>
    <row r="37">
      <c r="A37" s="2" t="n">
        <v>36</v>
      </c>
      <c r="B37" s="2" t="n"/>
      <c r="C37" s="2" t="inlineStr">
        <is>
          <t>日常章</t>
        </is>
      </c>
      <c r="D37" s="2" t="n"/>
      <c r="E37" s="2" t="n">
        <v>3000</v>
      </c>
      <c r="F37" s="2" t="n"/>
      <c r="G37" s="3">
        <f>IF(F37&gt;0,F37/E37,0)</f>
        <v/>
      </c>
      <c r="H37" s="2" t="n"/>
      <c r="I37" s="2" t="n"/>
      <c r="J37" s="2" t="n"/>
      <c r="K37" s="2" t="n"/>
      <c r="L37" s="2" t="n"/>
      <c r="M37" s="2" t="n"/>
    </row>
    <row r="38">
      <c r="A38" s="2" t="n">
        <v>37</v>
      </c>
      <c r="B38" s="2" t="n"/>
      <c r="C38" s="2" t="inlineStr">
        <is>
          <t>日常章</t>
        </is>
      </c>
      <c r="D38" s="2" t="n"/>
      <c r="E38" s="2" t="n">
        <v>3000</v>
      </c>
      <c r="F38" s="2" t="n"/>
      <c r="G38" s="3">
        <f>IF(F38&gt;0,F38/E38,0)</f>
        <v/>
      </c>
      <c r="H38" s="2" t="n"/>
      <c r="I38" s="2" t="n"/>
      <c r="J38" s="2" t="n"/>
      <c r="K38" s="2" t="n"/>
      <c r="L38" s="2" t="n"/>
      <c r="M38" s="2" t="n"/>
    </row>
    <row r="39">
      <c r="A39" s="2" t="n">
        <v>38</v>
      </c>
      <c r="B39" s="2" t="n"/>
      <c r="C39" s="2" t="inlineStr">
        <is>
          <t>日常章</t>
        </is>
      </c>
      <c r="D39" s="2" t="n"/>
      <c r="E39" s="2" t="n">
        <v>3000</v>
      </c>
      <c r="F39" s="2" t="n"/>
      <c r="G39" s="3">
        <f>IF(F39&gt;0,F39/E39,0)</f>
        <v/>
      </c>
      <c r="H39" s="2" t="n"/>
      <c r="I39" s="2" t="n"/>
      <c r="J39" s="2" t="n"/>
      <c r="K39" s="2" t="n"/>
      <c r="L39" s="2" t="n"/>
      <c r="M39" s="2" t="n"/>
    </row>
    <row r="40">
      <c r="A40" s="2" t="n">
        <v>39</v>
      </c>
      <c r="B40" s="2" t="n"/>
      <c r="C40" s="2" t="inlineStr">
        <is>
          <t>日常章</t>
        </is>
      </c>
      <c r="D40" s="2" t="n"/>
      <c r="E40" s="2" t="n">
        <v>3000</v>
      </c>
      <c r="F40" s="2" t="n"/>
      <c r="G40" s="3">
        <f>IF(F40&gt;0,F40/E40,0)</f>
        <v/>
      </c>
      <c r="H40" s="2" t="n"/>
      <c r="I40" s="2" t="n"/>
      <c r="J40" s="2" t="n"/>
      <c r="K40" s="2" t="n"/>
      <c r="L40" s="2" t="n"/>
      <c r="M40" s="2" t="n"/>
    </row>
    <row r="41">
      <c r="A41" s="2" t="n">
        <v>40</v>
      </c>
      <c r="B41" s="2" t="n"/>
      <c r="C41" s="2" t="inlineStr">
        <is>
          <t>日常章</t>
        </is>
      </c>
      <c r="D41" s="2" t="n"/>
      <c r="E41" s="2" t="n">
        <v>3000</v>
      </c>
      <c r="F41" s="2" t="n"/>
      <c r="G41" s="3">
        <f>IF(F41&gt;0,F41/E41,0)</f>
        <v/>
      </c>
      <c r="H41" s="2" t="n"/>
      <c r="I41" s="2" t="n"/>
      <c r="J41" s="2" t="n"/>
      <c r="K41" s="2" t="n"/>
      <c r="L41" s="2" t="n"/>
      <c r="M41" s="2" t="n"/>
    </row>
    <row r="42">
      <c r="A42" s="2" t="n">
        <v>41</v>
      </c>
      <c r="B42" s="2" t="n"/>
      <c r="C42" s="2" t="inlineStr">
        <is>
          <t>日常章</t>
        </is>
      </c>
      <c r="D42" s="2" t="n"/>
      <c r="E42" s="2" t="n">
        <v>3000</v>
      </c>
      <c r="F42" s="2" t="n"/>
      <c r="G42" s="3">
        <f>IF(F42&gt;0,F42/E42,0)</f>
        <v/>
      </c>
      <c r="H42" s="2" t="n"/>
      <c r="I42" s="2" t="n"/>
      <c r="J42" s="2" t="n"/>
      <c r="K42" s="2" t="n"/>
      <c r="L42" s="2" t="n"/>
      <c r="M42" s="2" t="n"/>
    </row>
    <row r="43">
      <c r="A43" s="2" t="n">
        <v>42</v>
      </c>
      <c r="B43" s="2" t="n"/>
      <c r="C43" s="2" t="inlineStr">
        <is>
          <t>日常章</t>
        </is>
      </c>
      <c r="D43" s="2" t="n"/>
      <c r="E43" s="2" t="n">
        <v>3000</v>
      </c>
      <c r="F43" s="2" t="n"/>
      <c r="G43" s="3">
        <f>IF(F43&gt;0,F43/E43,0)</f>
        <v/>
      </c>
      <c r="H43" s="2" t="n"/>
      <c r="I43" s="2" t="n"/>
      <c r="J43" s="2" t="n"/>
      <c r="K43" s="2" t="n"/>
      <c r="L43" s="2" t="n"/>
      <c r="M43" s="2" t="n"/>
    </row>
    <row r="44">
      <c r="A44" s="2" t="n">
        <v>43</v>
      </c>
      <c r="B44" s="2" t="n"/>
      <c r="C44" s="2" t="inlineStr">
        <is>
          <t>日常章</t>
        </is>
      </c>
      <c r="D44" s="2" t="n"/>
      <c r="E44" s="2" t="n">
        <v>3000</v>
      </c>
      <c r="F44" s="2" t="n"/>
      <c r="G44" s="3">
        <f>IF(F44&gt;0,F44/E44,0)</f>
        <v/>
      </c>
      <c r="H44" s="2" t="n"/>
      <c r="I44" s="2" t="n"/>
      <c r="J44" s="2" t="n"/>
      <c r="K44" s="2" t="n"/>
      <c r="L44" s="2" t="n"/>
      <c r="M44" s="2" t="n"/>
    </row>
    <row r="45">
      <c r="A45" s="2" t="n">
        <v>44</v>
      </c>
      <c r="B45" s="2" t="n"/>
      <c r="C45" s="2" t="inlineStr">
        <is>
          <t>日常章</t>
        </is>
      </c>
      <c r="D45" s="2" t="n"/>
      <c r="E45" s="2" t="n">
        <v>3000</v>
      </c>
      <c r="F45" s="2" t="n"/>
      <c r="G45" s="3">
        <f>IF(F45&gt;0,F45/E45,0)</f>
        <v/>
      </c>
      <c r="H45" s="2" t="n"/>
      <c r="I45" s="2" t="n"/>
      <c r="J45" s="2" t="n"/>
      <c r="K45" s="2" t="n"/>
      <c r="L45" s="2" t="n"/>
      <c r="M45" s="2" t="n"/>
    </row>
    <row r="46">
      <c r="A46" s="2" t="n">
        <v>45</v>
      </c>
      <c r="B46" s="2" t="n"/>
      <c r="C46" s="2" t="inlineStr">
        <is>
          <t>日常章</t>
        </is>
      </c>
      <c r="D46" s="2" t="n"/>
      <c r="E46" s="2" t="n">
        <v>3000</v>
      </c>
      <c r="F46" s="2" t="n"/>
      <c r="G46" s="3">
        <f>IF(F46&gt;0,F46/E46,0)</f>
        <v/>
      </c>
      <c r="H46" s="2" t="n"/>
      <c r="I46" s="2" t="n"/>
      <c r="J46" s="2" t="n"/>
      <c r="K46" s="2" t="n"/>
      <c r="L46" s="2" t="n"/>
      <c r="M46" s="2" t="n"/>
    </row>
    <row r="47">
      <c r="A47" s="2" t="n">
        <v>46</v>
      </c>
      <c r="B47" s="2" t="n"/>
      <c r="C47" s="2" t="inlineStr">
        <is>
          <t>日常章</t>
        </is>
      </c>
      <c r="D47" s="2" t="n"/>
      <c r="E47" s="2" t="n">
        <v>3000</v>
      </c>
      <c r="F47" s="2" t="n"/>
      <c r="G47" s="3">
        <f>IF(F47&gt;0,F47/E47,0)</f>
        <v/>
      </c>
      <c r="H47" s="2" t="n"/>
      <c r="I47" s="2" t="n"/>
      <c r="J47" s="2" t="n"/>
      <c r="K47" s="2" t="n"/>
      <c r="L47" s="2" t="n"/>
      <c r="M47" s="2" t="n"/>
    </row>
    <row r="48">
      <c r="A48" s="2" t="n">
        <v>47</v>
      </c>
      <c r="B48" s="2" t="n"/>
      <c r="C48" s="2" t="inlineStr">
        <is>
          <t>日常章</t>
        </is>
      </c>
      <c r="D48" s="2" t="n"/>
      <c r="E48" s="2" t="n">
        <v>3000</v>
      </c>
      <c r="F48" s="2" t="n"/>
      <c r="G48" s="3">
        <f>IF(F48&gt;0,F48/E48,0)</f>
        <v/>
      </c>
      <c r="H48" s="2" t="n"/>
      <c r="I48" s="2" t="n"/>
      <c r="J48" s="2" t="n"/>
      <c r="K48" s="2" t="n"/>
      <c r="L48" s="2" t="n"/>
      <c r="M48" s="2" t="n"/>
    </row>
    <row r="49">
      <c r="A49" s="2" t="n">
        <v>48</v>
      </c>
      <c r="B49" s="2" t="n"/>
      <c r="C49" s="2" t="inlineStr">
        <is>
          <t>日常章</t>
        </is>
      </c>
      <c r="D49" s="2" t="n"/>
      <c r="E49" s="2" t="n">
        <v>3000</v>
      </c>
      <c r="F49" s="2" t="n"/>
      <c r="G49" s="3">
        <f>IF(F49&gt;0,F49/E49,0)</f>
        <v/>
      </c>
      <c r="H49" s="2" t="n"/>
      <c r="I49" s="2" t="n"/>
      <c r="J49" s="2" t="n"/>
      <c r="K49" s="2" t="n"/>
      <c r="L49" s="2" t="n"/>
      <c r="M49" s="2" t="n"/>
    </row>
    <row r="50">
      <c r="A50" s="2" t="n">
        <v>49</v>
      </c>
      <c r="B50" s="2" t="n"/>
      <c r="C50" s="2" t="inlineStr">
        <is>
          <t>日常章</t>
        </is>
      </c>
      <c r="D50" s="2" t="n"/>
      <c r="E50" s="2" t="n">
        <v>3000</v>
      </c>
      <c r="F50" s="2" t="n"/>
      <c r="G50" s="3">
        <f>IF(F50&gt;0,F50/E50,0)</f>
        <v/>
      </c>
      <c r="H50" s="2" t="n"/>
      <c r="I50" s="2" t="n"/>
      <c r="J50" s="2" t="n"/>
      <c r="K50" s="2" t="n"/>
      <c r="L50" s="2" t="n"/>
      <c r="M50" s="2" t="n"/>
    </row>
    <row r="51">
      <c r="A51" s="2" t="n">
        <v>50</v>
      </c>
      <c r="B51" s="2" t="n"/>
      <c r="C51" s="2" t="inlineStr">
        <is>
          <t>日常章</t>
        </is>
      </c>
      <c r="D51" s="2" t="n"/>
      <c r="E51" s="2" t="n">
        <v>3000</v>
      </c>
      <c r="F51" s="2" t="n"/>
      <c r="G51" s="3">
        <f>IF(F51&gt;0,F51/E51,0)</f>
        <v/>
      </c>
      <c r="H51" s="2" t="n"/>
      <c r="I51" s="2" t="n"/>
      <c r="J51" s="2" t="n"/>
      <c r="K51" s="2" t="n"/>
      <c r="L51" s="2" t="n"/>
      <c r="M51" s="2" t="n"/>
    </row>
    <row r="52">
      <c r="A52" s="2" t="n">
        <v>51</v>
      </c>
      <c r="B52" s="2" t="n"/>
      <c r="C52" s="2" t="inlineStr">
        <is>
          <t>日常章</t>
        </is>
      </c>
      <c r="D52" s="2" t="n"/>
      <c r="E52" s="2" t="n">
        <v>3000</v>
      </c>
      <c r="F52" s="2" t="n"/>
      <c r="G52" s="3">
        <f>IF(F52&gt;0,F52/E52,0)</f>
        <v/>
      </c>
      <c r="H52" s="2" t="n"/>
      <c r="I52" s="2" t="n"/>
      <c r="J52" s="2" t="n"/>
      <c r="K52" s="2" t="n"/>
      <c r="L52" s="2" t="n"/>
      <c r="M52" s="2" t="n"/>
    </row>
    <row r="53">
      <c r="A53" s="2" t="n">
        <v>52</v>
      </c>
      <c r="B53" s="2" t="n"/>
      <c r="C53" s="2" t="inlineStr">
        <is>
          <t>日常章</t>
        </is>
      </c>
      <c r="D53" s="2" t="n"/>
      <c r="E53" s="2" t="n">
        <v>3000</v>
      </c>
      <c r="F53" s="2" t="n"/>
      <c r="G53" s="3">
        <f>IF(F53&gt;0,F53/E53,0)</f>
        <v/>
      </c>
      <c r="H53" s="2" t="n"/>
      <c r="I53" s="2" t="n"/>
      <c r="J53" s="2" t="n"/>
      <c r="K53" s="2" t="n"/>
      <c r="L53" s="2" t="n"/>
      <c r="M53" s="2" t="n"/>
    </row>
    <row r="54">
      <c r="A54" s="2" t="n">
        <v>53</v>
      </c>
      <c r="B54" s="2" t="n"/>
      <c r="C54" s="2" t="inlineStr">
        <is>
          <t>日常章</t>
        </is>
      </c>
      <c r="D54" s="2" t="n"/>
      <c r="E54" s="2" t="n">
        <v>3000</v>
      </c>
      <c r="F54" s="2" t="n"/>
      <c r="G54" s="3">
        <f>IF(F54&gt;0,F54/E54,0)</f>
        <v/>
      </c>
      <c r="H54" s="2" t="n"/>
      <c r="I54" s="2" t="n"/>
      <c r="J54" s="2" t="n"/>
      <c r="K54" s="2" t="n"/>
      <c r="L54" s="2" t="n"/>
      <c r="M54" s="2" t="n"/>
    </row>
    <row r="55">
      <c r="A55" s="2" t="n">
        <v>54</v>
      </c>
      <c r="B55" s="2" t="n"/>
      <c r="C55" s="2" t="inlineStr">
        <is>
          <t>日常章</t>
        </is>
      </c>
      <c r="D55" s="2" t="n"/>
      <c r="E55" s="2" t="n">
        <v>3000</v>
      </c>
      <c r="F55" s="2" t="n"/>
      <c r="G55" s="3">
        <f>IF(F55&gt;0,F55/E55,0)</f>
        <v/>
      </c>
      <c r="H55" s="2" t="n"/>
      <c r="I55" s="2" t="n"/>
      <c r="J55" s="2" t="n"/>
      <c r="K55" s="2" t="n"/>
      <c r="L55" s="2" t="n"/>
      <c r="M55" s="2" t="n"/>
    </row>
    <row r="56">
      <c r="A56" s="2" t="n">
        <v>55</v>
      </c>
      <c r="B56" s="2" t="n"/>
      <c r="C56" s="2" t="inlineStr">
        <is>
          <t>日常章</t>
        </is>
      </c>
      <c r="D56" s="2" t="n"/>
      <c r="E56" s="2" t="n">
        <v>3000</v>
      </c>
      <c r="F56" s="2" t="n"/>
      <c r="G56" s="3">
        <f>IF(F56&gt;0,F56/E56,0)</f>
        <v/>
      </c>
      <c r="H56" s="2" t="n"/>
      <c r="I56" s="2" t="n"/>
      <c r="J56" s="2" t="n"/>
      <c r="K56" s="2" t="n"/>
      <c r="L56" s="2" t="n"/>
      <c r="M56" s="2" t="n"/>
    </row>
    <row r="57">
      <c r="A57" s="2" t="n">
        <v>56</v>
      </c>
      <c r="B57" s="2" t="n"/>
      <c r="C57" s="2" t="inlineStr">
        <is>
          <t>日常章</t>
        </is>
      </c>
      <c r="D57" s="2" t="n"/>
      <c r="E57" s="2" t="n">
        <v>3000</v>
      </c>
      <c r="F57" s="2" t="n"/>
      <c r="G57" s="3">
        <f>IF(F57&gt;0,F57/E57,0)</f>
        <v/>
      </c>
      <c r="H57" s="2" t="n"/>
      <c r="I57" s="2" t="n"/>
      <c r="J57" s="2" t="n"/>
      <c r="K57" s="2" t="n"/>
      <c r="L57" s="2" t="n"/>
      <c r="M57" s="2" t="n"/>
    </row>
    <row r="58">
      <c r="A58" s="2" t="n">
        <v>57</v>
      </c>
      <c r="B58" s="2" t="n"/>
      <c r="C58" s="2" t="inlineStr">
        <is>
          <t>日常章</t>
        </is>
      </c>
      <c r="D58" s="2" t="n"/>
      <c r="E58" s="2" t="n">
        <v>3000</v>
      </c>
      <c r="F58" s="2" t="n"/>
      <c r="G58" s="3">
        <f>IF(F58&gt;0,F58/E58,0)</f>
        <v/>
      </c>
      <c r="H58" s="2" t="n"/>
      <c r="I58" s="2" t="n"/>
      <c r="J58" s="2" t="n"/>
      <c r="K58" s="2" t="n"/>
      <c r="L58" s="2" t="n"/>
      <c r="M58" s="2" t="n"/>
    </row>
    <row r="59">
      <c r="A59" s="2" t="n">
        <v>58</v>
      </c>
      <c r="B59" s="2" t="n"/>
      <c r="C59" s="2" t="inlineStr">
        <is>
          <t>日常章</t>
        </is>
      </c>
      <c r="D59" s="2" t="n"/>
      <c r="E59" s="2" t="n">
        <v>3000</v>
      </c>
      <c r="F59" s="2" t="n"/>
      <c r="G59" s="3">
        <f>IF(F59&gt;0,F59/E59,0)</f>
        <v/>
      </c>
      <c r="H59" s="2" t="n"/>
      <c r="I59" s="2" t="n"/>
      <c r="J59" s="2" t="n"/>
      <c r="K59" s="2" t="n"/>
      <c r="L59" s="2" t="n"/>
      <c r="M59" s="2" t="n"/>
    </row>
    <row r="60">
      <c r="A60" s="2" t="n">
        <v>59</v>
      </c>
      <c r="B60" s="2" t="n"/>
      <c r="C60" s="2" t="inlineStr">
        <is>
          <t>日常章</t>
        </is>
      </c>
      <c r="D60" s="2" t="n"/>
      <c r="E60" s="2" t="n">
        <v>3000</v>
      </c>
      <c r="F60" s="2" t="n"/>
      <c r="G60" s="3">
        <f>IF(F60&gt;0,F60/E60,0)</f>
        <v/>
      </c>
      <c r="H60" s="2" t="n"/>
      <c r="I60" s="2" t="n"/>
      <c r="J60" s="2" t="n"/>
      <c r="K60" s="2" t="n"/>
      <c r="L60" s="2" t="n"/>
      <c r="M60" s="2" t="n"/>
    </row>
    <row r="61">
      <c r="A61" s="2" t="n">
        <v>60</v>
      </c>
      <c r="B61" s="2" t="n"/>
      <c r="C61" s="2" t="inlineStr">
        <is>
          <t>日常章</t>
        </is>
      </c>
      <c r="D61" s="2" t="n"/>
      <c r="E61" s="2" t="n">
        <v>3000</v>
      </c>
      <c r="F61" s="2" t="n"/>
      <c r="G61" s="3">
        <f>IF(F61&gt;0,F61/E61,0)</f>
        <v/>
      </c>
      <c r="H61" s="2" t="n"/>
      <c r="I61" s="2" t="n"/>
      <c r="J61" s="2" t="n"/>
      <c r="K61" s="2" t="n"/>
      <c r="L61" s="2" t="n"/>
      <c r="M61" s="2" t="n"/>
    </row>
    <row r="62">
      <c r="A62" s="2" t="n">
        <v>61</v>
      </c>
      <c r="B62" s="2" t="n"/>
      <c r="C62" s="2" t="inlineStr">
        <is>
          <t>日常章</t>
        </is>
      </c>
      <c r="D62" s="2" t="n"/>
      <c r="E62" s="2" t="n">
        <v>3000</v>
      </c>
      <c r="F62" s="2" t="n"/>
      <c r="G62" s="3">
        <f>IF(F62&gt;0,F62/E62,0)</f>
        <v/>
      </c>
      <c r="H62" s="2" t="n"/>
      <c r="I62" s="2" t="n"/>
      <c r="J62" s="2" t="n"/>
      <c r="K62" s="2" t="n"/>
      <c r="L62" s="2" t="n"/>
      <c r="M62" s="2" t="n"/>
    </row>
    <row r="63">
      <c r="A63" s="2" t="n">
        <v>62</v>
      </c>
      <c r="B63" s="2" t="n"/>
      <c r="C63" s="2" t="inlineStr">
        <is>
          <t>日常章</t>
        </is>
      </c>
      <c r="D63" s="2" t="n"/>
      <c r="E63" s="2" t="n">
        <v>3000</v>
      </c>
      <c r="F63" s="2" t="n"/>
      <c r="G63" s="3">
        <f>IF(F63&gt;0,F63/E63,0)</f>
        <v/>
      </c>
      <c r="H63" s="2" t="n"/>
      <c r="I63" s="2" t="n"/>
      <c r="J63" s="2" t="n"/>
      <c r="K63" s="2" t="n"/>
      <c r="L63" s="2" t="n"/>
      <c r="M63" s="2" t="n"/>
    </row>
    <row r="64">
      <c r="A64" s="2" t="n">
        <v>63</v>
      </c>
      <c r="B64" s="2" t="n"/>
      <c r="C64" s="2" t="inlineStr">
        <is>
          <t>日常章</t>
        </is>
      </c>
      <c r="D64" s="2" t="n"/>
      <c r="E64" s="2" t="n">
        <v>3000</v>
      </c>
      <c r="F64" s="2" t="n"/>
      <c r="G64" s="3">
        <f>IF(F64&gt;0,F64/E64,0)</f>
        <v/>
      </c>
      <c r="H64" s="2" t="n"/>
      <c r="I64" s="2" t="n"/>
      <c r="J64" s="2" t="n"/>
      <c r="K64" s="2" t="n"/>
      <c r="L64" s="2" t="n"/>
      <c r="M64" s="2" t="n"/>
    </row>
    <row r="65">
      <c r="A65" s="2" t="n">
        <v>64</v>
      </c>
      <c r="B65" s="2" t="n"/>
      <c r="C65" s="2" t="inlineStr">
        <is>
          <t>日常章</t>
        </is>
      </c>
      <c r="D65" s="2" t="n"/>
      <c r="E65" s="2" t="n">
        <v>3000</v>
      </c>
      <c r="F65" s="2" t="n"/>
      <c r="G65" s="3">
        <f>IF(F65&gt;0,F65/E65,0)</f>
        <v/>
      </c>
      <c r="H65" s="2" t="n"/>
      <c r="I65" s="2" t="n"/>
      <c r="J65" s="2" t="n"/>
      <c r="K65" s="2" t="n"/>
      <c r="L65" s="2" t="n"/>
      <c r="M65" s="2" t="n"/>
    </row>
    <row r="66">
      <c r="A66" s="2" t="n">
        <v>65</v>
      </c>
      <c r="B66" s="2" t="n"/>
      <c r="C66" s="2" t="inlineStr">
        <is>
          <t>日常章</t>
        </is>
      </c>
      <c r="D66" s="2" t="n"/>
      <c r="E66" s="2" t="n">
        <v>3000</v>
      </c>
      <c r="F66" s="2" t="n"/>
      <c r="G66" s="3">
        <f>IF(F66&gt;0,F66/E66,0)</f>
        <v/>
      </c>
      <c r="H66" s="2" t="n"/>
      <c r="I66" s="2" t="n"/>
      <c r="J66" s="2" t="n"/>
      <c r="K66" s="2" t="n"/>
      <c r="L66" s="2" t="n"/>
      <c r="M66" s="2" t="n"/>
    </row>
    <row r="67">
      <c r="A67" s="2" t="n">
        <v>66</v>
      </c>
      <c r="B67" s="2" t="n"/>
      <c r="C67" s="2" t="inlineStr">
        <is>
          <t>日常章</t>
        </is>
      </c>
      <c r="D67" s="2" t="n"/>
      <c r="E67" s="2" t="n">
        <v>3000</v>
      </c>
      <c r="F67" s="2" t="n"/>
      <c r="G67" s="3">
        <f>IF(F67&gt;0,F67/E67,0)</f>
        <v/>
      </c>
      <c r="H67" s="2" t="n"/>
      <c r="I67" s="2" t="n"/>
      <c r="J67" s="2" t="n"/>
      <c r="K67" s="2" t="n"/>
      <c r="L67" s="2" t="n"/>
      <c r="M67" s="2" t="n"/>
    </row>
    <row r="68">
      <c r="A68" s="2" t="n">
        <v>67</v>
      </c>
      <c r="B68" s="2" t="n"/>
      <c r="C68" s="2" t="inlineStr">
        <is>
          <t>日常章</t>
        </is>
      </c>
      <c r="D68" s="2" t="n"/>
      <c r="E68" s="2" t="n">
        <v>3000</v>
      </c>
      <c r="F68" s="2" t="n"/>
      <c r="G68" s="3">
        <f>IF(F68&gt;0,F68/E68,0)</f>
        <v/>
      </c>
      <c r="H68" s="2" t="n"/>
      <c r="I68" s="2" t="n"/>
      <c r="J68" s="2" t="n"/>
      <c r="K68" s="2" t="n"/>
      <c r="L68" s="2" t="n"/>
      <c r="M68" s="2" t="n"/>
    </row>
    <row r="69">
      <c r="A69" s="2" t="n">
        <v>68</v>
      </c>
      <c r="B69" s="2" t="n"/>
      <c r="C69" s="2" t="inlineStr">
        <is>
          <t>日常章</t>
        </is>
      </c>
      <c r="D69" s="2" t="n"/>
      <c r="E69" s="2" t="n">
        <v>3000</v>
      </c>
      <c r="F69" s="2" t="n"/>
      <c r="G69" s="3">
        <f>IF(F69&gt;0,F69/E69,0)</f>
        <v/>
      </c>
      <c r="H69" s="2" t="n"/>
      <c r="I69" s="2" t="n"/>
      <c r="J69" s="2" t="n"/>
      <c r="K69" s="2" t="n"/>
      <c r="L69" s="2" t="n"/>
      <c r="M69" s="2" t="n"/>
    </row>
    <row r="70">
      <c r="A70" s="2" t="n">
        <v>69</v>
      </c>
      <c r="B70" s="2" t="n"/>
      <c r="C70" s="2" t="inlineStr">
        <is>
          <t>日常章</t>
        </is>
      </c>
      <c r="D70" s="2" t="n"/>
      <c r="E70" s="2" t="n">
        <v>3000</v>
      </c>
      <c r="F70" s="2" t="n"/>
      <c r="G70" s="3">
        <f>IF(F70&gt;0,F70/E70,0)</f>
        <v/>
      </c>
      <c r="H70" s="2" t="n"/>
      <c r="I70" s="2" t="n"/>
      <c r="J70" s="2" t="n"/>
      <c r="K70" s="2" t="n"/>
      <c r="L70" s="2" t="n"/>
      <c r="M70" s="2" t="n"/>
    </row>
    <row r="71">
      <c r="A71" s="2" t="n">
        <v>70</v>
      </c>
      <c r="B71" s="2" t="n"/>
      <c r="C71" s="2" t="inlineStr">
        <is>
          <t>日常章</t>
        </is>
      </c>
      <c r="D71" s="2" t="n"/>
      <c r="E71" s="2" t="n">
        <v>3000</v>
      </c>
      <c r="F71" s="2" t="n"/>
      <c r="G71" s="3">
        <f>IF(F71&gt;0,F71/E71,0)</f>
        <v/>
      </c>
      <c r="H71" s="2" t="n"/>
      <c r="I71" s="2" t="n"/>
      <c r="J71" s="2" t="n"/>
      <c r="K71" s="2" t="n"/>
      <c r="L71" s="2" t="n"/>
      <c r="M71" s="2" t="n"/>
    </row>
    <row r="72"/>
    <row r="73">
      <c r="A73" s="12" t="inlineStr">
        <is>
          <t>合计</t>
        </is>
      </c>
      <c r="B73" s="12" t="n"/>
      <c r="C73" s="12" t="n"/>
      <c r="D73" s="12" t="n"/>
      <c r="E73" s="12">
        <f>SUM(E2:E71)</f>
        <v/>
      </c>
      <c r="F73" s="12">
        <f>SUM(F2:F71)</f>
        <v/>
      </c>
      <c r="G73" s="13">
        <f>IF(F73&gt;0,F73/E73,0)</f>
        <v/>
      </c>
      <c r="H73" s="12" t="n"/>
      <c r="I73" s="12" t="n"/>
      <c r="J73" s="12" t="n"/>
      <c r="K73" s="12" t="n"/>
      <c r="L73" s="12" t="n"/>
      <c r="M73" s="12" t="n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E67E22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50" customWidth="1" min="5" max="5"/>
    <col width="10" customWidth="1" min="6" max="6"/>
  </cols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评分标准</t>
        </is>
      </c>
      <c r="D1" s="1" t="inlineStr">
        <is>
          <t>得分(0-10)</t>
        </is>
      </c>
      <c r="E1" s="1" t="inlineStr">
        <is>
          <t>加权得分</t>
        </is>
      </c>
      <c r="F1" s="1" t="inlineStr">
        <is>
          <t>证据/备注</t>
        </is>
      </c>
    </row>
    <row r="2">
      <c r="A2" s="2" t="inlineStr">
        <is>
          <t>钩子密度</t>
        </is>
      </c>
      <c r="B2" s="2" t="inlineStr">
        <is>
          <t>20%</t>
        </is>
      </c>
      <c r="C2" s="2" t="inlineStr">
        <is>
          <t>每章&gt;=1个钩子</t>
        </is>
      </c>
      <c r="D2" s="2" t="inlineStr"/>
      <c r="E2" s="2">
        <f>IF(D2&gt;0,D2*VALUE(SUBSTITUTE(B2,"%",""))/100,0)</f>
        <v/>
      </c>
      <c r="F2" s="2" t="inlineStr"/>
    </row>
    <row r="3">
      <c r="A3" s="2" t="inlineStr">
        <is>
          <t>节奏控制</t>
        </is>
      </c>
      <c r="B3" s="2" t="inlineStr">
        <is>
          <t>15%</t>
        </is>
      </c>
      <c r="C3" s="2" t="inlineStr">
        <is>
          <t>无10章无爽点的沙漠区</t>
        </is>
      </c>
      <c r="D3" s="2" t="inlineStr"/>
      <c r="E3" s="2">
        <f>IF(D3&gt;0,D3*VALUE(SUBSTITUTE(B3,"%",""))/100,0)</f>
        <v/>
      </c>
      <c r="F3" s="2" t="inlineStr"/>
    </row>
    <row r="4">
      <c r="A4" s="2" t="inlineStr">
        <is>
          <t>角色弧光</t>
        </is>
      </c>
      <c r="B4" s="2" t="inlineStr">
        <is>
          <t>15%</t>
        </is>
      </c>
      <c r="C4" s="2" t="inlineStr">
        <is>
          <t>主角有明确的起始→终点转变</t>
        </is>
      </c>
      <c r="D4" s="2" t="inlineStr"/>
      <c r="E4" s="2">
        <f>IF(D4&gt;0,D4*VALUE(SUBSTITUTE(B4,"%",""))/100,0)</f>
        <v/>
      </c>
      <c r="F4" s="2" t="inlineStr"/>
    </row>
    <row r="5">
      <c r="A5" s="2" t="inlineStr">
        <is>
          <t>世界一致性</t>
        </is>
      </c>
      <c r="B5" s="2" t="inlineStr">
        <is>
          <t>15%</t>
        </is>
      </c>
      <c r="C5" s="2" t="inlineStr">
        <is>
          <t>规则/术语无矛盾</t>
        </is>
      </c>
      <c r="D5" s="2" t="inlineStr"/>
      <c r="E5" s="2">
        <f>IF(D5&gt;0,D5*VALUE(SUBSTITUTE(B5,"%",""))/100,0)</f>
        <v/>
      </c>
      <c r="F5" s="2" t="inlineStr"/>
    </row>
    <row r="6">
      <c r="A6" s="2" t="inlineStr">
        <is>
          <t>高潮设计</t>
        </is>
      </c>
      <c r="B6" s="2" t="inlineStr">
        <is>
          <t>10%</t>
        </is>
      </c>
      <c r="C6" s="2" t="inlineStr">
        <is>
          <t>每卷有令人满足的高潮</t>
        </is>
      </c>
      <c r="D6" s="2" t="inlineStr"/>
      <c r="E6" s="2">
        <f>IF(D6&gt;0,D6*VALUE(SUBSTITUTE(B6,"%",""))/100,0)</f>
        <v/>
      </c>
      <c r="F6" s="2" t="inlineStr"/>
    </row>
    <row r="7">
      <c r="A7" s="2" t="inlineStr">
        <is>
          <t>伏笔回收</t>
        </is>
      </c>
      <c r="B7" s="2" t="inlineStr">
        <is>
          <t>10%</t>
        </is>
      </c>
      <c r="C7" s="2" t="inlineStr">
        <is>
          <t>所有埋设的伏笔都有回收</t>
        </is>
      </c>
      <c r="D7" s="2" t="inlineStr"/>
      <c r="E7" s="2">
        <f>IF(D7&gt;0,D7*VALUE(SUBSTITUTE(B7,"%",""))/100,0)</f>
        <v/>
      </c>
      <c r="F7" s="2" t="inlineStr"/>
    </row>
    <row r="8">
      <c r="A8" s="2" t="inlineStr">
        <is>
          <t>对话质量</t>
        </is>
      </c>
      <c r="B8" s="2" t="inlineStr">
        <is>
          <t>5%</t>
        </is>
      </c>
      <c r="C8" s="2" t="inlineStr">
        <is>
          <t>无废话对话，每句有目的</t>
        </is>
      </c>
      <c r="D8" s="2" t="inlineStr"/>
      <c r="E8" s="2">
        <f>IF(D8&gt;0,D8*VALUE(SUBSTITUTE(B8,"%",""))/100,0)</f>
        <v/>
      </c>
      <c r="F8" s="2" t="inlineStr"/>
    </row>
    <row r="9">
      <c r="A9" s="2" t="inlineStr">
        <is>
          <t>感官描写</t>
        </is>
      </c>
      <c r="B9" s="2" t="inlineStr">
        <is>
          <t>5%</t>
        </is>
      </c>
      <c r="C9" s="2" t="inlineStr">
        <is>
          <t>关键场景使用3+感官</t>
        </is>
      </c>
      <c r="D9" s="2" t="inlineStr"/>
      <c r="E9" s="2">
        <f>IF(D9&gt;0,D9*VALUE(SUBSTITUTE(B9,"%",""))/100,0)</f>
        <v/>
      </c>
      <c r="F9" s="2" t="inlineStr"/>
    </row>
    <row r="10">
      <c r="A10" s="2" t="inlineStr">
        <is>
          <t>开篇冲击</t>
        </is>
      </c>
      <c r="B10" s="2" t="inlineStr">
        <is>
          <t>5%</t>
        </is>
      </c>
      <c r="C10" s="2" t="inlineStr">
        <is>
          <t>第1章300字内抓住读者</t>
        </is>
      </c>
      <c r="D10" s="2" t="inlineStr"/>
      <c r="E10" s="2">
        <f>IF(D10&gt;0,D10*VALUE(SUBSTITUTE(B10,"%",""))/100,0)</f>
        <v/>
      </c>
      <c r="F10" s="2" t="inlineStr"/>
    </row>
    <row r="11">
      <c r="A11" t="inlineStr">
        <is>
          <t>总分</t>
        </is>
      </c>
      <c r="E11" s="14">
        <f>SUM(E2:E10)</f>
        <v/>
      </c>
    </row>
    <row r="12">
      <c r="A12" t="inlineStr">
        <is>
          <t>等级</t>
        </is>
      </c>
      <c r="E12" s="15">
        <f>IF(E11&gt;=90,"A",IF(E11&gt;=80,"B",IF(E11&gt;=70,"C",IF(E11&gt;=60,"D","F"))))</f>
        <v/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9B59B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进度百分比</t>
        </is>
      </c>
      <c r="B1" s="1" t="inlineStr">
        <is>
          <t>读者情感</t>
        </is>
      </c>
      <c r="C1" s="1" t="inlineStr">
        <is>
          <t>章节范围</t>
        </is>
      </c>
      <c r="D1" s="1" t="inlineStr">
        <is>
          <t>设计要点</t>
        </is>
      </c>
      <c r="E1" s="1" t="inlineStr">
        <is>
          <t>强度(1-10)</t>
        </is>
      </c>
      <c r="F1" s="1" t="inlineStr">
        <is>
          <t>关键事件</t>
        </is>
      </c>
      <c r="G1" s="1" t="inlineStr">
        <is>
          <t>钩子类型</t>
        </is>
      </c>
      <c r="H1" s="1" t="inlineStr">
        <is>
          <t>状态</t>
        </is>
      </c>
    </row>
    <row r="2">
      <c r="A2" s="2" t="inlineStr">
        <is>
          <t>0-5%</t>
        </is>
      </c>
      <c r="B2" s="2" t="inlineStr">
        <is>
          <t>压抑/好奇</t>
        </is>
      </c>
      <c r="C2" s="2" t="inlineStr">
        <is>
          <t>第1-3章</t>
        </is>
      </c>
      <c r="D2" s="2" t="inlineStr">
        <is>
          <t>主角困境+金手指出现</t>
        </is>
      </c>
      <c r="E2" s="2" t="n">
        <v>3</v>
      </c>
      <c r="F2" s="2" t="inlineStr">
        <is>
          <t>金手指激活</t>
        </is>
      </c>
      <c r="G2" s="2" t="inlineStr">
        <is>
          <t>[期待]</t>
        </is>
      </c>
      <c r="H2" s="2" t="inlineStr">
        <is>
          <t>未开始</t>
        </is>
      </c>
    </row>
    <row r="3">
      <c r="A3" s="2" t="inlineStr">
        <is>
          <t>5-15%</t>
        </is>
      </c>
      <c r="B3" s="2" t="inlineStr">
        <is>
          <t>期待/成长</t>
        </is>
      </c>
      <c r="C3" s="2" t="inlineStr">
        <is>
          <t>第4-10章</t>
        </is>
      </c>
      <c r="D3" s="2" t="inlineStr">
        <is>
          <t>第一次小规模胜利</t>
        </is>
      </c>
      <c r="E3" s="2" t="n">
        <v>5</v>
      </c>
      <c r="F3" s="2" t="inlineStr">
        <is>
          <t>首次胜利</t>
        </is>
      </c>
      <c r="G3" s="2" t="inlineStr">
        <is>
          <t>[成长]</t>
        </is>
      </c>
      <c r="H3" s="2" t="inlineStr">
        <is>
          <t>未开始</t>
        </is>
      </c>
    </row>
    <row r="4">
      <c r="A4" s="2" t="inlineStr">
        <is>
          <t>15-30%</t>
        </is>
      </c>
      <c r="B4" s="2" t="inlineStr">
        <is>
          <t>紧张/焦虑</t>
        </is>
      </c>
      <c r="C4" s="2" t="inlineStr">
        <is>
          <t>第11-20章</t>
        </is>
      </c>
      <c r="D4" s="2" t="inlineStr">
        <is>
          <t>强大敌人/时间限制</t>
        </is>
      </c>
      <c r="E4" s="2" t="n">
        <v>7</v>
      </c>
      <c r="F4" s="2" t="inlineStr">
        <is>
          <t>重大威胁</t>
        </is>
      </c>
      <c r="G4" s="2" t="inlineStr">
        <is>
          <t>[危机]</t>
        </is>
      </c>
      <c r="H4" s="2" t="inlineStr">
        <is>
          <t>未开始</t>
        </is>
      </c>
    </row>
    <row r="5">
      <c r="A5" s="2" t="inlineStr">
        <is>
          <t>30-50%</t>
        </is>
      </c>
      <c r="B5" s="2" t="inlineStr">
        <is>
          <t>掌控/满足</t>
        </is>
      </c>
      <c r="C5" s="2" t="inlineStr">
        <is>
          <t>第21-35章</t>
        </is>
      </c>
      <c r="D5" s="2" t="inlineStr">
        <is>
          <t>建立势力/体系运转</t>
        </is>
      </c>
      <c r="E5" s="2" t="n">
        <v>6</v>
      </c>
      <c r="F5" s="2" t="inlineStr">
        <is>
          <t>势力建立</t>
        </is>
      </c>
      <c r="G5" s="2" t="inlineStr">
        <is>
          <t>[成长]</t>
        </is>
      </c>
      <c r="H5" s="2" t="inlineStr">
        <is>
          <t>未开始</t>
        </is>
      </c>
    </row>
    <row r="6">
      <c r="A6" s="2" t="inlineStr">
        <is>
          <t>50-65%</t>
        </is>
      </c>
      <c r="B6" s="2" t="inlineStr">
        <is>
          <t>惊喜/震撼</t>
        </is>
      </c>
      <c r="C6" s="2" t="inlineStr">
        <is>
          <t>第36-45章</t>
        </is>
      </c>
      <c r="D6" s="2" t="inlineStr">
        <is>
          <t>世界观反转</t>
        </is>
      </c>
      <c r="E6" s="2" t="n">
        <v>9</v>
      </c>
      <c r="F6" s="2" t="inlineStr">
        <is>
          <t>重大揭秘</t>
        </is>
      </c>
      <c r="G6" s="2" t="inlineStr">
        <is>
          <t>[反转]</t>
        </is>
      </c>
      <c r="H6" s="2" t="inlineStr">
        <is>
          <t>未开始</t>
        </is>
      </c>
    </row>
    <row r="7">
      <c r="A7" s="2" t="inlineStr">
        <is>
          <t>65-80%</t>
        </is>
      </c>
      <c r="B7" s="2" t="inlineStr">
        <is>
          <t>焦虑/紧迫</t>
        </is>
      </c>
      <c r="C7" s="2" t="inlineStr">
        <is>
          <t>第46-55章</t>
        </is>
      </c>
      <c r="D7" s="2" t="inlineStr">
        <is>
          <t>失去重要东西/危机升级</t>
        </is>
      </c>
      <c r="E7" s="2" t="n">
        <v>8</v>
      </c>
      <c r="F7" s="2" t="inlineStr">
        <is>
          <t>重大损失</t>
        </is>
      </c>
      <c r="G7" s="2" t="inlineStr">
        <is>
          <t>[危机]</t>
        </is>
      </c>
      <c r="H7" s="2" t="inlineStr">
        <is>
          <t>未开始</t>
        </is>
      </c>
    </row>
    <row r="8">
      <c r="A8" s="2" t="inlineStr">
        <is>
          <t>80-90%</t>
        </is>
      </c>
      <c r="B8" s="2" t="inlineStr">
        <is>
          <t>逆袭/爆发</t>
        </is>
      </c>
      <c r="C8" s="2" t="inlineStr">
        <is>
          <t>第56-60章</t>
        </is>
      </c>
      <c r="D8" s="2" t="inlineStr">
        <is>
          <t>重新崛起，多线汇合</t>
        </is>
      </c>
      <c r="E8" s="2" t="n">
        <v>10</v>
      </c>
      <c r="F8" s="2" t="inlineStr">
        <is>
          <t>王者归来</t>
        </is>
      </c>
      <c r="G8" s="2" t="inlineStr">
        <is>
          <t>[打脸]</t>
        </is>
      </c>
      <c r="H8" s="2" t="inlineStr">
        <is>
          <t>未开始</t>
        </is>
      </c>
    </row>
    <row r="9">
      <c r="A9" s="2" t="inlineStr">
        <is>
          <t>90-100%</t>
        </is>
      </c>
      <c r="B9" s="2" t="inlineStr">
        <is>
          <t>高潮/满足</t>
        </is>
      </c>
      <c r="C9" s="2" t="inlineStr">
        <is>
          <t>第61-68章</t>
        </is>
      </c>
      <c r="D9" s="2" t="inlineStr">
        <is>
          <t>最终决战，所有伏笔回收</t>
        </is>
      </c>
      <c r="E9" s="2" t="n">
        <v>10</v>
      </c>
      <c r="F9" s="2" t="inlineStr">
        <is>
          <t>终极对决</t>
        </is>
      </c>
      <c r="G9" s="2" t="inlineStr">
        <is>
          <t>[揭秘]</t>
        </is>
      </c>
      <c r="H9" s="2" t="inlineStr">
        <is>
          <t>未开始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00F1C40F"/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5" customWidth="1" min="5" max="5"/>
    <col width="10" customWidth="1" min="6" max="6"/>
    <col width="23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日期</t>
        </is>
      </c>
      <c r="B1" s="1" t="inlineStr">
        <is>
          <t>第几天</t>
        </is>
      </c>
      <c r="C1" s="1" t="inlineStr">
        <is>
          <t>写作章数</t>
        </is>
      </c>
      <c r="D1" s="1" t="inlineStr">
        <is>
          <t>写作字数</t>
        </is>
      </c>
      <c r="E1" s="1" t="inlineStr">
        <is>
          <t>累计字数</t>
        </is>
      </c>
      <c r="F1" s="1" t="inlineStr">
        <is>
          <t>耗时(小时)</t>
        </is>
      </c>
      <c r="G1" s="1" t="inlineStr">
        <is>
          <t>每小时字数</t>
        </is>
      </c>
      <c r="H1" s="1" t="inlineStr">
        <is>
          <t>质量评分</t>
        </is>
      </c>
      <c r="I1" s="1" t="inlineStr">
        <is>
          <t>遇到的问题</t>
        </is>
      </c>
      <c r="J1" s="1" t="inlineStr">
        <is>
          <t>明日计划</t>
        </is>
      </c>
    </row>
    <row r="2">
      <c r="A2" s="2" t="n"/>
      <c r="B2" s="2" t="n">
        <v>1</v>
      </c>
      <c r="C2" s="2" t="n"/>
      <c r="D2" s="2" t="n"/>
      <c r="E2" s="2">
        <f>IF(D2&gt;0,E1+D2,E1)</f>
        <v/>
      </c>
      <c r="F2" s="2" t="n"/>
      <c r="G2" s="16">
        <f>IF(F2&gt;0,D2/F2,0)</f>
        <v/>
      </c>
      <c r="H2" s="2" t="n"/>
      <c r="I2" s="2" t="n"/>
      <c r="J2" s="2" t="n"/>
    </row>
    <row r="3">
      <c r="A3" s="2" t="n"/>
      <c r="B3" s="2" t="n">
        <v>2</v>
      </c>
      <c r="C3" s="2" t="n"/>
      <c r="D3" s="2" t="n"/>
      <c r="E3" s="2">
        <f>IF(D3&gt;0,E2+D3,E2)</f>
        <v/>
      </c>
      <c r="F3" s="2" t="n"/>
      <c r="G3" s="16">
        <f>IF(F3&gt;0,D3/F3,0)</f>
        <v/>
      </c>
      <c r="H3" s="2" t="n"/>
      <c r="I3" s="2" t="n"/>
      <c r="J3" s="2" t="n"/>
    </row>
    <row r="4">
      <c r="A4" s="2" t="n"/>
      <c r="B4" s="2" t="n">
        <v>3</v>
      </c>
      <c r="C4" s="2" t="n"/>
      <c r="D4" s="2" t="n"/>
      <c r="E4" s="2">
        <f>IF(D4&gt;0,E3+D4,E3)</f>
        <v/>
      </c>
      <c r="F4" s="2" t="n"/>
      <c r="G4" s="16">
        <f>IF(F4&gt;0,D4/F4,0)</f>
        <v/>
      </c>
      <c r="H4" s="2" t="n"/>
      <c r="I4" s="2" t="n"/>
      <c r="J4" s="2" t="n"/>
    </row>
    <row r="5">
      <c r="A5" s="2" t="n"/>
      <c r="B5" s="2" t="n">
        <v>4</v>
      </c>
      <c r="C5" s="2" t="n"/>
      <c r="D5" s="2" t="n"/>
      <c r="E5" s="2">
        <f>IF(D5&gt;0,E4+D5,E4)</f>
        <v/>
      </c>
      <c r="F5" s="2" t="n"/>
      <c r="G5" s="16">
        <f>IF(F5&gt;0,D5/F5,0)</f>
        <v/>
      </c>
      <c r="H5" s="2" t="n"/>
      <c r="I5" s="2" t="n"/>
      <c r="J5" s="2" t="n"/>
    </row>
    <row r="6">
      <c r="A6" s="2" t="n"/>
      <c r="B6" s="2" t="n">
        <v>5</v>
      </c>
      <c r="C6" s="2" t="n"/>
      <c r="D6" s="2" t="n"/>
      <c r="E6" s="2">
        <f>IF(D6&gt;0,E5+D6,E5)</f>
        <v/>
      </c>
      <c r="F6" s="2" t="n"/>
      <c r="G6" s="16">
        <f>IF(F6&gt;0,D6/F6,0)</f>
        <v/>
      </c>
      <c r="H6" s="2" t="n"/>
      <c r="I6" s="2" t="n"/>
      <c r="J6" s="2" t="n"/>
    </row>
    <row r="7">
      <c r="A7" s="2" t="n"/>
      <c r="B7" s="2" t="n">
        <v>6</v>
      </c>
      <c r="C7" s="2" t="n"/>
      <c r="D7" s="2" t="n"/>
      <c r="E7" s="2">
        <f>IF(D7&gt;0,E6+D7,E6)</f>
        <v/>
      </c>
      <c r="F7" s="2" t="n"/>
      <c r="G7" s="16">
        <f>IF(F7&gt;0,D7/F7,0)</f>
        <v/>
      </c>
      <c r="H7" s="2" t="n"/>
      <c r="I7" s="2" t="n"/>
      <c r="J7" s="2" t="n"/>
    </row>
    <row r="8">
      <c r="A8" s="2" t="n"/>
      <c r="B8" s="2" t="n">
        <v>7</v>
      </c>
      <c r="C8" s="2" t="n"/>
      <c r="D8" s="2" t="n"/>
      <c r="E8" s="2">
        <f>IF(D8&gt;0,E7+D8,E7)</f>
        <v/>
      </c>
      <c r="F8" s="2" t="n"/>
      <c r="G8" s="16">
        <f>IF(F8&gt;0,D8/F8,0)</f>
        <v/>
      </c>
      <c r="H8" s="2" t="n"/>
      <c r="I8" s="2" t="n"/>
      <c r="J8" s="2" t="n"/>
    </row>
    <row r="9">
      <c r="A9" s="2" t="n"/>
      <c r="B9" s="2" t="n">
        <v>8</v>
      </c>
      <c r="C9" s="2" t="n"/>
      <c r="D9" s="2" t="n"/>
      <c r="E9" s="2">
        <f>IF(D9&gt;0,E8+D9,E8)</f>
        <v/>
      </c>
      <c r="F9" s="2" t="n"/>
      <c r="G9" s="16">
        <f>IF(F9&gt;0,D9/F9,0)</f>
        <v/>
      </c>
      <c r="H9" s="2" t="n"/>
      <c r="I9" s="2" t="n"/>
      <c r="J9" s="2" t="n"/>
    </row>
    <row r="10">
      <c r="A10" s="2" t="n"/>
      <c r="B10" s="2" t="n">
        <v>9</v>
      </c>
      <c r="C10" s="2" t="n"/>
      <c r="D10" s="2" t="n"/>
      <c r="E10" s="2">
        <f>IF(D10&gt;0,E9+D10,E9)</f>
        <v/>
      </c>
      <c r="F10" s="2" t="n"/>
      <c r="G10" s="16">
        <f>IF(F10&gt;0,D10/F10,0)</f>
        <v/>
      </c>
      <c r="H10" s="2" t="n"/>
      <c r="I10" s="2" t="n"/>
      <c r="J10" s="2" t="n"/>
    </row>
    <row r="11">
      <c r="A11" s="2" t="n"/>
      <c r="B11" s="2" t="n">
        <v>10</v>
      </c>
      <c r="C11" s="2" t="n"/>
      <c r="D11" s="2" t="n"/>
      <c r="E11" s="2">
        <f>IF(D11&gt;0,E10+D11,E10)</f>
        <v/>
      </c>
      <c r="F11" s="2" t="n"/>
      <c r="G11" s="16">
        <f>IF(F11&gt;0,D11/F11,0)</f>
        <v/>
      </c>
      <c r="H11" s="2" t="n"/>
      <c r="I11" s="2" t="n"/>
      <c r="J11" s="2" t="n"/>
    </row>
    <row r="12">
      <c r="A12" s="2" t="n"/>
      <c r="B12" s="2" t="n">
        <v>11</v>
      </c>
      <c r="C12" s="2" t="n"/>
      <c r="D12" s="2" t="n"/>
      <c r="E12" s="2">
        <f>IF(D12&gt;0,E11+D12,E11)</f>
        <v/>
      </c>
      <c r="F12" s="2" t="n"/>
      <c r="G12" s="16">
        <f>IF(F12&gt;0,D12/F12,0)</f>
        <v/>
      </c>
      <c r="H12" s="2" t="n"/>
      <c r="I12" s="2" t="n"/>
      <c r="J12" s="2" t="n"/>
    </row>
    <row r="13">
      <c r="A13" s="2" t="n"/>
      <c r="B13" s="2" t="n">
        <v>12</v>
      </c>
      <c r="C13" s="2" t="n"/>
      <c r="D13" s="2" t="n"/>
      <c r="E13" s="2">
        <f>IF(D13&gt;0,E12+D13,E12)</f>
        <v/>
      </c>
      <c r="F13" s="2" t="n"/>
      <c r="G13" s="16">
        <f>IF(F13&gt;0,D13/F13,0)</f>
        <v/>
      </c>
      <c r="H13" s="2" t="n"/>
      <c r="I13" s="2" t="n"/>
      <c r="J13" s="2" t="n"/>
    </row>
    <row r="14">
      <c r="A14" s="2" t="n"/>
      <c r="B14" s="2" t="n">
        <v>13</v>
      </c>
      <c r="C14" s="2" t="n"/>
      <c r="D14" s="2" t="n"/>
      <c r="E14" s="2">
        <f>IF(D14&gt;0,E13+D14,E13)</f>
        <v/>
      </c>
      <c r="F14" s="2" t="n"/>
      <c r="G14" s="16">
        <f>IF(F14&gt;0,D14/F14,0)</f>
        <v/>
      </c>
      <c r="H14" s="2" t="n"/>
      <c r="I14" s="2" t="n"/>
      <c r="J14" s="2" t="n"/>
    </row>
    <row r="15">
      <c r="A15" s="2" t="n"/>
      <c r="B15" s="2" t="n">
        <v>14</v>
      </c>
      <c r="C15" s="2" t="n"/>
      <c r="D15" s="2" t="n"/>
      <c r="E15" s="2">
        <f>IF(D15&gt;0,E14+D15,E14)</f>
        <v/>
      </c>
      <c r="F15" s="2" t="n"/>
      <c r="G15" s="16">
        <f>IF(F15&gt;0,D15/F15,0)</f>
        <v/>
      </c>
      <c r="H15" s="2" t="n"/>
      <c r="I15" s="2" t="n"/>
      <c r="J15" s="2" t="n"/>
    </row>
    <row r="16">
      <c r="A16" s="2" t="n"/>
      <c r="B16" s="2" t="n">
        <v>15</v>
      </c>
      <c r="C16" s="2" t="n"/>
      <c r="D16" s="2" t="n"/>
      <c r="E16" s="2">
        <f>IF(D16&gt;0,E15+D16,E15)</f>
        <v/>
      </c>
      <c r="F16" s="2" t="n"/>
      <c r="G16" s="16">
        <f>IF(F16&gt;0,D16/F16,0)</f>
        <v/>
      </c>
      <c r="H16" s="2" t="n"/>
      <c r="I16" s="2" t="n"/>
      <c r="J16" s="2" t="n"/>
    </row>
    <row r="17">
      <c r="A17" s="2" t="n"/>
      <c r="B17" s="2" t="n">
        <v>16</v>
      </c>
      <c r="C17" s="2" t="n"/>
      <c r="D17" s="2" t="n"/>
      <c r="E17" s="2">
        <f>IF(D17&gt;0,E16+D17,E16)</f>
        <v/>
      </c>
      <c r="F17" s="2" t="n"/>
      <c r="G17" s="16">
        <f>IF(F17&gt;0,D17/F17,0)</f>
        <v/>
      </c>
      <c r="H17" s="2" t="n"/>
      <c r="I17" s="2" t="n"/>
      <c r="J17" s="2" t="n"/>
    </row>
    <row r="18">
      <c r="A18" s="2" t="n"/>
      <c r="B18" s="2" t="n">
        <v>17</v>
      </c>
      <c r="C18" s="2" t="n"/>
      <c r="D18" s="2" t="n"/>
      <c r="E18" s="2">
        <f>IF(D18&gt;0,E17+D18,E17)</f>
        <v/>
      </c>
      <c r="F18" s="2" t="n"/>
      <c r="G18" s="16">
        <f>IF(F18&gt;0,D18/F18,0)</f>
        <v/>
      </c>
      <c r="H18" s="2" t="n"/>
      <c r="I18" s="2" t="n"/>
      <c r="J18" s="2" t="n"/>
    </row>
    <row r="19">
      <c r="A19" s="2" t="n"/>
      <c r="B19" s="2" t="n">
        <v>18</v>
      </c>
      <c r="C19" s="2" t="n"/>
      <c r="D19" s="2" t="n"/>
      <c r="E19" s="2">
        <f>IF(D19&gt;0,E18+D19,E18)</f>
        <v/>
      </c>
      <c r="F19" s="2" t="n"/>
      <c r="G19" s="16">
        <f>IF(F19&gt;0,D19/F19,0)</f>
        <v/>
      </c>
      <c r="H19" s="2" t="n"/>
      <c r="I19" s="2" t="n"/>
      <c r="J19" s="2" t="n"/>
    </row>
    <row r="20">
      <c r="A20" s="2" t="n"/>
      <c r="B20" s="2" t="n">
        <v>19</v>
      </c>
      <c r="C20" s="2" t="n"/>
      <c r="D20" s="2" t="n"/>
      <c r="E20" s="2">
        <f>IF(D20&gt;0,E19+D20,E19)</f>
        <v/>
      </c>
      <c r="F20" s="2" t="n"/>
      <c r="G20" s="16">
        <f>IF(F20&gt;0,D20/F20,0)</f>
        <v/>
      </c>
      <c r="H20" s="2" t="n"/>
      <c r="I20" s="2" t="n"/>
      <c r="J20" s="2" t="n"/>
    </row>
    <row r="21">
      <c r="A21" s="2" t="n"/>
      <c r="B21" s="2" t="n">
        <v>20</v>
      </c>
      <c r="C21" s="2" t="n"/>
      <c r="D21" s="2" t="n"/>
      <c r="E21" s="2">
        <f>IF(D21&gt;0,E20+D21,E20)</f>
        <v/>
      </c>
      <c r="F21" s="2" t="n"/>
      <c r="G21" s="16">
        <f>IF(F21&gt;0,D21/F21,0)</f>
        <v/>
      </c>
      <c r="H21" s="2" t="n"/>
      <c r="I21" s="2" t="n"/>
      <c r="J21" s="2" t="n"/>
    </row>
    <row r="22">
      <c r="A22" s="2" t="n"/>
      <c r="B22" s="2" t="n">
        <v>21</v>
      </c>
      <c r="C22" s="2" t="n"/>
      <c r="D22" s="2" t="n"/>
      <c r="E22" s="2">
        <f>IF(D22&gt;0,E21+D22,E21)</f>
        <v/>
      </c>
      <c r="F22" s="2" t="n"/>
      <c r="G22" s="16">
        <f>IF(F22&gt;0,D22/F22,0)</f>
        <v/>
      </c>
      <c r="H22" s="2" t="n"/>
      <c r="I22" s="2" t="n"/>
      <c r="J22" s="2" t="n"/>
    </row>
    <row r="23">
      <c r="A23" s="2" t="n"/>
      <c r="B23" s="2" t="n">
        <v>22</v>
      </c>
      <c r="C23" s="2" t="n"/>
      <c r="D23" s="2" t="n"/>
      <c r="E23" s="2">
        <f>IF(D23&gt;0,E22+D23,E22)</f>
        <v/>
      </c>
      <c r="F23" s="2" t="n"/>
      <c r="G23" s="16">
        <f>IF(F23&gt;0,D23/F23,0)</f>
        <v/>
      </c>
      <c r="H23" s="2" t="n"/>
      <c r="I23" s="2" t="n"/>
      <c r="J23" s="2" t="n"/>
    </row>
    <row r="24">
      <c r="A24" s="2" t="n"/>
      <c r="B24" s="2" t="n">
        <v>23</v>
      </c>
      <c r="C24" s="2" t="n"/>
      <c r="D24" s="2" t="n"/>
      <c r="E24" s="2">
        <f>IF(D24&gt;0,E23+D24,E23)</f>
        <v/>
      </c>
      <c r="F24" s="2" t="n"/>
      <c r="G24" s="16">
        <f>IF(F24&gt;0,D24/F24,0)</f>
        <v/>
      </c>
      <c r="H24" s="2" t="n"/>
      <c r="I24" s="2" t="n"/>
      <c r="J24" s="2" t="n"/>
    </row>
    <row r="25">
      <c r="A25" s="2" t="n"/>
      <c r="B25" s="2" t="n">
        <v>24</v>
      </c>
      <c r="C25" s="2" t="n"/>
      <c r="D25" s="2" t="n"/>
      <c r="E25" s="2">
        <f>IF(D25&gt;0,E24+D25,E24)</f>
        <v/>
      </c>
      <c r="F25" s="2" t="n"/>
      <c r="G25" s="16">
        <f>IF(F25&gt;0,D25/F25,0)</f>
        <v/>
      </c>
      <c r="H25" s="2" t="n"/>
      <c r="I25" s="2" t="n"/>
      <c r="J25" s="2" t="n"/>
    </row>
    <row r="26">
      <c r="A26" s="2" t="n"/>
      <c r="B26" s="2" t="n">
        <v>25</v>
      </c>
      <c r="C26" s="2" t="n"/>
      <c r="D26" s="2" t="n"/>
      <c r="E26" s="2">
        <f>IF(D26&gt;0,E25+D26,E25)</f>
        <v/>
      </c>
      <c r="F26" s="2" t="n"/>
      <c r="G26" s="16">
        <f>IF(F26&gt;0,D26/F26,0)</f>
        <v/>
      </c>
      <c r="H26" s="2" t="n"/>
      <c r="I26" s="2" t="n"/>
      <c r="J26" s="2" t="n"/>
    </row>
    <row r="27">
      <c r="A27" s="2" t="n"/>
      <c r="B27" s="2" t="n">
        <v>26</v>
      </c>
      <c r="C27" s="2" t="n"/>
      <c r="D27" s="2" t="n"/>
      <c r="E27" s="2">
        <f>IF(D27&gt;0,E26+D27,E26)</f>
        <v/>
      </c>
      <c r="F27" s="2" t="n"/>
      <c r="G27" s="16">
        <f>IF(F27&gt;0,D27/F27,0)</f>
        <v/>
      </c>
      <c r="H27" s="2" t="n"/>
      <c r="I27" s="2" t="n"/>
      <c r="J27" s="2" t="n"/>
    </row>
    <row r="28">
      <c r="A28" s="2" t="n"/>
      <c r="B28" s="2" t="n">
        <v>27</v>
      </c>
      <c r="C28" s="2" t="n"/>
      <c r="D28" s="2" t="n"/>
      <c r="E28" s="2">
        <f>IF(D28&gt;0,E27+D28,E27)</f>
        <v/>
      </c>
      <c r="F28" s="2" t="n"/>
      <c r="G28" s="16">
        <f>IF(F28&gt;0,D28/F28,0)</f>
        <v/>
      </c>
      <c r="H28" s="2" t="n"/>
      <c r="I28" s="2" t="n"/>
      <c r="J28" s="2" t="n"/>
    </row>
    <row r="29">
      <c r="A29" s="2" t="n"/>
      <c r="B29" s="2" t="n">
        <v>28</v>
      </c>
      <c r="C29" s="2" t="n"/>
      <c r="D29" s="2" t="n"/>
      <c r="E29" s="2">
        <f>IF(D29&gt;0,E28+D29,E28)</f>
        <v/>
      </c>
      <c r="F29" s="2" t="n"/>
      <c r="G29" s="16">
        <f>IF(F29&gt;0,D29/F29,0)</f>
        <v/>
      </c>
      <c r="H29" s="2" t="n"/>
      <c r="I29" s="2" t="n"/>
      <c r="J29" s="2" t="n"/>
    </row>
    <row r="30">
      <c r="A30" s="2" t="n"/>
      <c r="B30" s="2" t="n">
        <v>29</v>
      </c>
      <c r="C30" s="2" t="n"/>
      <c r="D30" s="2" t="n"/>
      <c r="E30" s="2">
        <f>IF(D30&gt;0,E29+D30,E29)</f>
        <v/>
      </c>
      <c r="F30" s="2" t="n"/>
      <c r="G30" s="16">
        <f>IF(F30&gt;0,D30/F30,0)</f>
        <v/>
      </c>
      <c r="H30" s="2" t="n"/>
      <c r="I30" s="2" t="n"/>
      <c r="J30" s="2" t="n"/>
    </row>
    <row r="31">
      <c r="A31" s="2" t="n"/>
      <c r="B31" s="2" t="n">
        <v>30</v>
      </c>
      <c r="C31" s="2" t="n"/>
      <c r="D31" s="2" t="n"/>
      <c r="E31" s="2">
        <f>IF(D31&gt;0,E30+D31,E30)</f>
        <v/>
      </c>
      <c r="F31" s="2" t="n"/>
      <c r="G31" s="16">
        <f>IF(F31&gt;0,D31/F31,0)</f>
        <v/>
      </c>
      <c r="H31" s="2" t="n"/>
      <c r="I31" s="2" t="n"/>
      <c r="J31" s="2" t="n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00E74C3C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编号</t>
        </is>
      </c>
      <c r="B1" s="1" t="inlineStr">
        <is>
          <t>伏笔内容</t>
        </is>
      </c>
      <c r="C1" s="1" t="inlineStr">
        <is>
          <t>埋设章节</t>
        </is>
      </c>
      <c r="D1" s="1" t="inlineStr">
        <is>
          <t>埋设场景</t>
        </is>
      </c>
      <c r="E1" s="1" t="inlineStr">
        <is>
          <t>重要性(1-5)</t>
        </is>
      </c>
      <c r="F1" s="1" t="inlineStr">
        <is>
          <t>回收章节</t>
        </is>
      </c>
      <c r="G1" s="1" t="inlineStr">
        <is>
          <t>回收方式</t>
        </is>
      </c>
      <c r="H1" s="1" t="inlineStr">
        <is>
          <t>状态</t>
        </is>
      </c>
      <c r="I1" s="1" t="inlineStr">
        <is>
          <t>备注</t>
        </is>
      </c>
    </row>
    <row r="2">
      <c r="A2" s="2" t="inlineStr">
        <is>
          <t>F-001</t>
        </is>
      </c>
      <c r="B2" s="2" t="n"/>
      <c r="C2" s="2" t="n"/>
      <c r="D2" s="2" t="n"/>
      <c r="E2" s="2" t="n"/>
      <c r="F2" s="2" t="n"/>
      <c r="G2" s="2" t="n"/>
      <c r="H2" s="2" t="inlineStr">
        <is>
          <t>已埋设</t>
        </is>
      </c>
      <c r="I2" s="2" t="n"/>
    </row>
    <row r="3">
      <c r="A3" s="2" t="inlineStr">
        <is>
          <t>F-002</t>
        </is>
      </c>
      <c r="B3" s="2" t="n"/>
      <c r="C3" s="2" t="n"/>
      <c r="D3" s="2" t="n"/>
      <c r="E3" s="2" t="n"/>
      <c r="F3" s="2" t="n"/>
      <c r="G3" s="2" t="n"/>
      <c r="H3" s="2" t="inlineStr">
        <is>
          <t>已埋设</t>
        </is>
      </c>
      <c r="I3" s="2" t="n"/>
    </row>
    <row r="4">
      <c r="A4" s="2" t="inlineStr">
        <is>
          <t>F-003</t>
        </is>
      </c>
      <c r="B4" s="2" t="n"/>
      <c r="C4" s="2" t="n"/>
      <c r="D4" s="2" t="n"/>
      <c r="E4" s="2" t="n"/>
      <c r="F4" s="2" t="n"/>
      <c r="G4" s="2" t="n"/>
      <c r="H4" s="2" t="inlineStr">
        <is>
          <t>已埋设</t>
        </is>
      </c>
      <c r="I4" s="2" t="n"/>
    </row>
    <row r="5">
      <c r="A5" s="2" t="inlineStr">
        <is>
          <t>F-004</t>
        </is>
      </c>
      <c r="B5" s="2" t="n"/>
      <c r="C5" s="2" t="n"/>
      <c r="D5" s="2" t="n"/>
      <c r="E5" s="2" t="n"/>
      <c r="F5" s="2" t="n"/>
      <c r="G5" s="2" t="n"/>
      <c r="H5" s="2" t="inlineStr">
        <is>
          <t>已埋设</t>
        </is>
      </c>
      <c r="I5" s="2" t="n"/>
    </row>
    <row r="6">
      <c r="A6" s="2" t="inlineStr">
        <is>
          <t>F-005</t>
        </is>
      </c>
      <c r="B6" s="2" t="n"/>
      <c r="C6" s="2" t="n"/>
      <c r="D6" s="2" t="n"/>
      <c r="E6" s="2" t="n"/>
      <c r="F6" s="2" t="n"/>
      <c r="G6" s="2" t="n"/>
      <c r="H6" s="2" t="inlineStr">
        <is>
          <t>已埋设</t>
        </is>
      </c>
      <c r="I6" s="2" t="n"/>
    </row>
    <row r="7">
      <c r="A7" s="2" t="inlineStr">
        <is>
          <t>F-006</t>
        </is>
      </c>
      <c r="B7" s="2" t="n"/>
      <c r="C7" s="2" t="n"/>
      <c r="D7" s="2" t="n"/>
      <c r="E7" s="2" t="n"/>
      <c r="F7" s="2" t="n"/>
      <c r="G7" s="2" t="n"/>
      <c r="H7" s="2" t="inlineStr">
        <is>
          <t>已埋设</t>
        </is>
      </c>
      <c r="I7" s="2" t="n"/>
    </row>
    <row r="8">
      <c r="A8" s="2" t="inlineStr">
        <is>
          <t>F-007</t>
        </is>
      </c>
      <c r="B8" s="2" t="n"/>
      <c r="C8" s="2" t="n"/>
      <c r="D8" s="2" t="n"/>
      <c r="E8" s="2" t="n"/>
      <c r="F8" s="2" t="n"/>
      <c r="G8" s="2" t="n"/>
      <c r="H8" s="2" t="inlineStr">
        <is>
          <t>已埋设</t>
        </is>
      </c>
      <c r="I8" s="2" t="n"/>
    </row>
    <row r="9">
      <c r="A9" s="2" t="inlineStr">
        <is>
          <t>F-008</t>
        </is>
      </c>
      <c r="B9" s="2" t="n"/>
      <c r="C9" s="2" t="n"/>
      <c r="D9" s="2" t="n"/>
      <c r="E9" s="2" t="n"/>
      <c r="F9" s="2" t="n"/>
      <c r="G9" s="2" t="n"/>
      <c r="H9" s="2" t="inlineStr">
        <is>
          <t>已埋设</t>
        </is>
      </c>
      <c r="I9" s="2" t="n"/>
    </row>
    <row r="10">
      <c r="A10" s="2" t="inlineStr">
        <is>
          <t>F-009</t>
        </is>
      </c>
      <c r="B10" s="2" t="n"/>
      <c r="C10" s="2" t="n"/>
      <c r="D10" s="2" t="n"/>
      <c r="E10" s="2" t="n"/>
      <c r="F10" s="2" t="n"/>
      <c r="G10" s="2" t="n"/>
      <c r="H10" s="2" t="inlineStr">
        <is>
          <t>已埋设</t>
        </is>
      </c>
      <c r="I10" s="2" t="n"/>
    </row>
    <row r="11">
      <c r="A11" s="2" t="inlineStr">
        <is>
          <t>F-010</t>
        </is>
      </c>
      <c r="B11" s="2" t="n"/>
      <c r="C11" s="2" t="n"/>
      <c r="D11" s="2" t="n"/>
      <c r="E11" s="2" t="n"/>
      <c r="F11" s="2" t="n"/>
      <c r="G11" s="2" t="n"/>
      <c r="H11" s="2" t="inlineStr">
        <is>
          <t>已埋设</t>
        </is>
      </c>
      <c r="I11" s="2" t="n"/>
    </row>
    <row r="12">
      <c r="A12" s="2" t="inlineStr">
        <is>
          <t>F-011</t>
        </is>
      </c>
      <c r="B12" s="2" t="n"/>
      <c r="C12" s="2" t="n"/>
      <c r="D12" s="2" t="n"/>
      <c r="E12" s="2" t="n"/>
      <c r="F12" s="2" t="n"/>
      <c r="G12" s="2" t="n"/>
      <c r="H12" s="2" t="inlineStr">
        <is>
          <t>已埋设</t>
        </is>
      </c>
      <c r="I12" s="2" t="n"/>
    </row>
    <row r="13">
      <c r="A13" s="2" t="inlineStr">
        <is>
          <t>F-012</t>
        </is>
      </c>
      <c r="B13" s="2" t="n"/>
      <c r="C13" s="2" t="n"/>
      <c r="D13" s="2" t="n"/>
      <c r="E13" s="2" t="n"/>
      <c r="F13" s="2" t="n"/>
      <c r="G13" s="2" t="n"/>
      <c r="H13" s="2" t="inlineStr">
        <is>
          <t>已埋设</t>
        </is>
      </c>
      <c r="I13" s="2" t="n"/>
    </row>
    <row r="14">
      <c r="A14" s="2" t="inlineStr">
        <is>
          <t>F-013</t>
        </is>
      </c>
      <c r="B14" s="2" t="n"/>
      <c r="C14" s="2" t="n"/>
      <c r="D14" s="2" t="n"/>
      <c r="E14" s="2" t="n"/>
      <c r="F14" s="2" t="n"/>
      <c r="G14" s="2" t="n"/>
      <c r="H14" s="2" t="inlineStr">
        <is>
          <t>已埋设</t>
        </is>
      </c>
      <c r="I14" s="2" t="n"/>
    </row>
    <row r="15">
      <c r="A15" s="2" t="inlineStr">
        <is>
          <t>F-014</t>
        </is>
      </c>
      <c r="B15" s="2" t="n"/>
      <c r="C15" s="2" t="n"/>
      <c r="D15" s="2" t="n"/>
      <c r="E15" s="2" t="n"/>
      <c r="F15" s="2" t="n"/>
      <c r="G15" s="2" t="n"/>
      <c r="H15" s="2" t="inlineStr">
        <is>
          <t>已埋设</t>
        </is>
      </c>
      <c r="I15" s="2" t="n"/>
    </row>
    <row r="16">
      <c r="A16" s="2" t="inlineStr">
        <is>
          <t>F-015</t>
        </is>
      </c>
      <c r="B16" s="2" t="n"/>
      <c r="C16" s="2" t="n"/>
      <c r="D16" s="2" t="n"/>
      <c r="E16" s="2" t="n"/>
      <c r="F16" s="2" t="n"/>
      <c r="G16" s="2" t="n"/>
      <c r="H16" s="2" t="inlineStr">
        <is>
          <t>已埋设</t>
        </is>
      </c>
      <c r="I16" s="2" t="n"/>
    </row>
    <row r="17">
      <c r="A17" s="2" t="inlineStr">
        <is>
          <t>F-016</t>
        </is>
      </c>
      <c r="B17" s="2" t="n"/>
      <c r="C17" s="2" t="n"/>
      <c r="D17" s="2" t="n"/>
      <c r="E17" s="2" t="n"/>
      <c r="F17" s="2" t="n"/>
      <c r="G17" s="2" t="n"/>
      <c r="H17" s="2" t="inlineStr">
        <is>
          <t>已埋设</t>
        </is>
      </c>
      <c r="I17" s="2" t="n"/>
    </row>
    <row r="18">
      <c r="A18" s="2" t="inlineStr">
        <is>
          <t>F-017</t>
        </is>
      </c>
      <c r="B18" s="2" t="n"/>
      <c r="C18" s="2" t="n"/>
      <c r="D18" s="2" t="n"/>
      <c r="E18" s="2" t="n"/>
      <c r="F18" s="2" t="n"/>
      <c r="G18" s="2" t="n"/>
      <c r="H18" s="2" t="inlineStr">
        <is>
          <t>已埋设</t>
        </is>
      </c>
      <c r="I18" s="2" t="n"/>
    </row>
    <row r="19">
      <c r="A19" s="2" t="inlineStr">
        <is>
          <t>F-018</t>
        </is>
      </c>
      <c r="B19" s="2" t="n"/>
      <c r="C19" s="2" t="n"/>
      <c r="D19" s="2" t="n"/>
      <c r="E19" s="2" t="n"/>
      <c r="F19" s="2" t="n"/>
      <c r="G19" s="2" t="n"/>
      <c r="H19" s="2" t="inlineStr">
        <is>
          <t>已埋设</t>
        </is>
      </c>
      <c r="I19" s="2" t="n"/>
    </row>
    <row r="20">
      <c r="A20" s="2" t="inlineStr">
        <is>
          <t>F-019</t>
        </is>
      </c>
      <c r="B20" s="2" t="n"/>
      <c r="C20" s="2" t="n"/>
      <c r="D20" s="2" t="n"/>
      <c r="E20" s="2" t="n"/>
      <c r="F20" s="2" t="n"/>
      <c r="G20" s="2" t="n"/>
      <c r="H20" s="2" t="inlineStr">
        <is>
          <t>已埋设</t>
        </is>
      </c>
      <c r="I20" s="2" t="n"/>
    </row>
    <row r="21">
      <c r="A21" s="2" t="inlineStr">
        <is>
          <t>F-020</t>
        </is>
      </c>
      <c r="B21" s="2" t="n"/>
      <c r="C21" s="2" t="n"/>
      <c r="D21" s="2" t="n"/>
      <c r="E21" s="2" t="n"/>
      <c r="F21" s="2" t="n"/>
      <c r="G21" s="2" t="n"/>
      <c r="H21" s="2" t="inlineStr">
        <is>
          <t>已埋设</t>
        </is>
      </c>
      <c r="I21" s="2" t="n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0095A5A6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名词</t>
        </is>
      </c>
      <c r="B1" s="1" t="inlineStr">
        <is>
          <t>定义</t>
        </is>
      </c>
      <c r="C1" s="1" t="inlineStr">
        <is>
          <t>首次出现</t>
        </is>
      </c>
      <c r="D1" s="1" t="inlineStr">
        <is>
          <t>分类</t>
        </is>
      </c>
      <c r="E1" s="1" t="inlineStr">
        <is>
          <t>关联名词</t>
        </is>
      </c>
      <c r="F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002C3E5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</cols>
  <sheetData>
    <row r="1">
      <c r="A1" s="1" t="inlineStr">
        <is>
          <t>阶段</t>
        </is>
      </c>
      <c r="B1" s="1" t="inlineStr">
        <is>
          <t>输入</t>
        </is>
      </c>
      <c r="C1" s="1" t="inlineStr">
        <is>
          <t>输出</t>
        </is>
      </c>
      <c r="D1" s="1" t="inlineStr">
        <is>
          <t>核心模板</t>
        </is>
      </c>
      <c r="E1" s="1" t="inlineStr">
        <is>
          <t>预估时间</t>
        </is>
      </c>
      <c r="F1" s="1" t="inlineStr">
        <is>
          <t>完成标准</t>
        </is>
      </c>
      <c r="G1" s="1" t="inlineStr">
        <is>
          <t>工具</t>
        </is>
      </c>
    </row>
    <row r="2">
      <c r="A2" s="2" t="inlineStr">
        <is>
          <t>S1-题材定位</t>
        </is>
      </c>
      <c r="B2" s="2" t="inlineStr">
        <is>
          <t>灵感/想法</t>
        </is>
      </c>
      <c r="C2" s="2" t="inlineStr">
        <is>
          <t>题材确认书</t>
        </is>
      </c>
      <c r="D2" s="2" t="inlineStr">
        <is>
          <t>定位矩阵、卖点公式</t>
        </is>
      </c>
      <c r="E2" s="2" t="inlineStr">
        <is>
          <t>2小时</t>
        </is>
      </c>
      <c r="F2" s="2" t="inlineStr">
        <is>
          <t>明确3个竞品+一句话卖点</t>
        </is>
      </c>
      <c r="G2" s="2" t="inlineStr">
        <is>
          <t>市场调研</t>
        </is>
      </c>
    </row>
    <row r="3">
      <c r="A3" s="2" t="inlineStr">
        <is>
          <t>S2-世界观构建</t>
        </is>
      </c>
      <c r="B3" s="2" t="inlineStr">
        <is>
          <t>题材确认书</t>
        </is>
      </c>
      <c r="C3" s="2" t="inlineStr">
        <is>
          <t>世界观档案</t>
        </is>
      </c>
      <c r="D3" s="2" t="inlineStr">
        <is>
          <t>8维度世界模板、名词词典</t>
        </is>
      </c>
      <c r="E3" s="2" t="inlineStr">
        <is>
          <t>8小时</t>
        </is>
      </c>
      <c r="F3" s="2" t="inlineStr">
        <is>
          <t>8维度填满、力量体系量化</t>
        </is>
      </c>
      <c r="G3" s="2" t="inlineStr">
        <is>
          <t>地图、表格</t>
        </is>
      </c>
    </row>
    <row r="4">
      <c r="A4" s="2" t="inlineStr">
        <is>
          <t>S3-角色设计</t>
        </is>
      </c>
      <c r="B4" s="2" t="inlineStr">
        <is>
          <t>世界观档案</t>
        </is>
      </c>
      <c r="C4" s="2" t="inlineStr">
        <is>
          <t>角色设定卡</t>
        </is>
      </c>
      <c r="D4" s="2" t="inlineStr">
        <is>
          <t>主角卡、弧光模板、配角矩阵</t>
        </is>
      </c>
      <c r="E4" s="2" t="inlineStr">
        <is>
          <t>6小时</t>
        </is>
      </c>
      <c r="F4" s="2" t="inlineStr">
        <is>
          <t>主角弧光完整、5+配角有功能</t>
        </is>
      </c>
      <c r="G4" s="2" t="inlineStr">
        <is>
          <t>关系图</t>
        </is>
      </c>
    </row>
    <row r="5">
      <c r="A5" s="2" t="inlineStr">
        <is>
          <t>S4-大纲编写</t>
        </is>
      </c>
      <c r="B5" s="2" t="inlineStr">
        <is>
          <t>全部设定</t>
        </is>
      </c>
      <c r="C5" s="2" t="inlineStr">
        <is>
          <t>卷纲+章纲</t>
        </is>
      </c>
      <c r="D5" s="2" t="inlineStr">
        <is>
          <t>卷规格、章表、节奏报告</t>
        </is>
      </c>
      <c r="E5" s="2" t="inlineStr">
        <is>
          <t>10小时</t>
        </is>
      </c>
      <c r="F5" s="2" t="inlineStr">
        <is>
          <t>所有章节有标签、无10章沙漠</t>
        </is>
      </c>
      <c r="G5" s="2" t="inlineStr">
        <is>
          <t>伏笔追踪表</t>
        </is>
      </c>
    </row>
    <row r="6">
      <c r="A6" s="2" t="inlineStr">
        <is>
          <t>S5-细纲拆解</t>
        </is>
      </c>
      <c r="B6" s="2" t="inlineStr">
        <is>
          <t>章纲</t>
        </is>
      </c>
      <c r="C6" s="2" t="inlineStr">
        <is>
          <t>节纲+爽点图</t>
        </is>
      </c>
      <c r="D6" s="2" t="inlineStr">
        <is>
          <t>节规格、情感曲线、钩子报告</t>
        </is>
      </c>
      <c r="E6" s="2" t="inlineStr">
        <is>
          <t>15小时</t>
        </is>
      </c>
      <c r="F6" s="2" t="inlineStr">
        <is>
          <t>每节有场景/动作/钩子</t>
        </is>
      </c>
      <c r="G6" s="2" t="inlineStr">
        <is>
          <t>情感曲线图</t>
        </is>
      </c>
    </row>
    <row r="7">
      <c r="A7" s="2" t="inlineStr">
        <is>
          <t>S6-正文写作</t>
        </is>
      </c>
      <c r="B7" s="2" t="inlineStr">
        <is>
          <t>节纲</t>
        </is>
      </c>
      <c r="C7" s="2" t="inlineStr">
        <is>
          <t>完整正文</t>
        </is>
      </c>
      <c r="D7" s="2" t="inlineStr">
        <is>
          <t>章节结构模板、写作规范</t>
        </is>
      </c>
      <c r="E7" s="2" t="inlineStr">
        <is>
          <t>250小时</t>
        </is>
      </c>
      <c r="F7" s="2" t="inlineStr">
        <is>
          <t>每章有钩子+3000字±10%</t>
        </is>
      </c>
      <c r="G7" s="2" t="inlineStr">
        <is>
          <t>每日日志、名词词典</t>
        </is>
      </c>
    </row>
    <row r="8">
      <c r="A8" s="2" t="inlineStr">
        <is>
          <t>S7-修订发布</t>
        </is>
      </c>
      <c r="B8" s="2" t="inlineStr">
        <is>
          <t>正文</t>
        </is>
      </c>
      <c r="C8" s="2" t="inlineStr">
        <is>
          <t>终稿</t>
        </is>
      </c>
      <c r="D8" s="2" t="inlineStr">
        <is>
          <t>三轮修订、10项检查清单</t>
        </is>
      </c>
      <c r="E8" s="2" t="inlineStr">
        <is>
          <t>30小时</t>
        </is>
      </c>
      <c r="F8" s="2" t="inlineStr">
        <is>
          <t>检查清单全部通过</t>
        </is>
      </c>
      <c r="G8" s="2" t="inlineStr">
        <is>
          <t>质量评分</t>
        </is>
      </c>
    </row>
    <row r="9">
      <c r="A9" s="17" t="inlineStr">
        <is>
          <t>合计</t>
        </is>
      </c>
      <c r="B9" s="17" t="n"/>
      <c r="C9" s="17" t="n"/>
      <c r="D9" s="17" t="n"/>
      <c r="E9" s="12">
        <f>SUM(E2:E8)</f>
        <v/>
      </c>
      <c r="F9" s="17" t="n"/>
      <c r="G9" s="17" t="n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2026-06-05T11:41:01Z</dcterms:created>
  <dcterms:modified xmlns:dcterms="http://purl.org/dc/terms/" xmlns:xsi="http://www.w3.org/2001/XMLSchema-instance" xsi:type="dcterms:W3CDTF">2026-06-05T11:41:01Z</dcterms:modified>
</cp:coreProperties>
</file>