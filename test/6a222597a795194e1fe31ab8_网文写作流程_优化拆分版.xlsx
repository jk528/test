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程总图" sheetId="1" state="visible" r:id="rId1"/>
    <sheet xmlns:r="http://schemas.openxmlformats.org/officeDocument/2006/relationships" name="P1_题材定位" sheetId="2" state="visible" r:id="rId2"/>
    <sheet xmlns:r="http://schemas.openxmlformats.org/officeDocument/2006/relationships" name="P2_世界观构建" sheetId="3" state="visible" r:id="rId3"/>
    <sheet xmlns:r="http://schemas.openxmlformats.org/officeDocument/2006/relationships" name="P3_角色设计" sheetId="4" state="visible" r:id="rId4"/>
    <sheet xmlns:r="http://schemas.openxmlformats.org/officeDocument/2006/relationships" name="P4_大纲编写" sheetId="5" state="visible" r:id="rId5"/>
    <sheet xmlns:r="http://schemas.openxmlformats.org/officeDocument/2006/relationships" name="P5_细纲拆解" sheetId="6" state="visible" r:id="rId6"/>
    <sheet xmlns:r="http://schemas.openxmlformats.org/officeDocument/2006/relationships" name="P6_正文写作" sheetId="7" state="visible" r:id="rId7"/>
    <sheet xmlns:r="http://schemas.openxmlformats.org/officeDocument/2006/relationships" name="P7_修订发布" sheetId="8" state="visible" r:id="rId8"/>
    <sheet xmlns:r="http://schemas.openxmlformats.org/officeDocument/2006/relationships" name="每日进度" sheetId="9" state="visible" r:id="rId9"/>
    <sheet xmlns:r="http://schemas.openxmlformats.org/officeDocument/2006/relationships" name="质量仪表盘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right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right"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9" fontId="0" fillId="4" borderId="1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000000"/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0" customWidth="1" min="4" max="4"/>
    <col width="8" customWidth="1" min="5" max="5"/>
    <col width="12" customWidth="1" min="6" max="6"/>
    <col width="30" customWidth="1" min="7" max="7"/>
    <col width="27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8" customWidth="1" min="14" max="14"/>
  </cols>
  <sheetData>
    <row r="1">
      <c r="A1" s="1" t="inlineStr">
        <is>
          <t>阶段</t>
        </is>
      </c>
      <c r="B1" s="1" t="inlineStr">
        <is>
          <t>任务编号</t>
        </is>
      </c>
      <c r="C1" s="1" t="inlineStr">
        <is>
          <t>任务名称</t>
        </is>
      </c>
      <c r="D1" s="1" t="inlineStr">
        <is>
          <t>预估时长(分钟)</t>
        </is>
      </c>
      <c r="E1" s="1" t="inlineStr">
        <is>
          <t>输入</t>
        </is>
      </c>
      <c r="F1" s="1" t="inlineStr">
        <is>
          <t>输出</t>
        </is>
      </c>
      <c r="G1" s="1" t="inlineStr">
        <is>
          <t>核心动作</t>
        </is>
      </c>
      <c r="H1" s="1" t="inlineStr">
        <is>
          <t>验收标准</t>
        </is>
      </c>
      <c r="I1" s="1" t="inlineStr">
        <is>
          <t>前置依赖</t>
        </is>
      </c>
      <c r="J1" s="1" t="inlineStr">
        <is>
          <t>状态</t>
        </is>
      </c>
      <c r="K1" s="1" t="inlineStr">
        <is>
          <t>实际用时</t>
        </is>
      </c>
      <c r="L1" s="1" t="inlineStr">
        <is>
          <t>完成日期</t>
        </is>
      </c>
      <c r="M1" s="1" t="inlineStr">
        <is>
          <t>质量评分(1-10)</t>
        </is>
      </c>
      <c r="N1" s="1" t="inlineStr">
        <is>
          <t>问题记录</t>
        </is>
      </c>
    </row>
    <row r="2">
      <c r="A2" s="2" t="inlineStr">
        <is>
          <t>P1-题材定位期</t>
        </is>
      </c>
      <c r="B2" s="2" t="inlineStr">
        <is>
          <t>T1.1</t>
        </is>
      </c>
      <c r="C2" s="3" t="inlineStr">
        <is>
          <t>灵感池筛选</t>
        </is>
      </c>
      <c r="D2" s="4" t="n">
        <v>30</v>
      </c>
      <c r="E2" s="3" t="inlineStr">
        <is>
          <t>灵感/想法</t>
        </is>
      </c>
      <c r="F2" s="3" t="inlineStr">
        <is>
          <t>3个候选题材</t>
        </is>
      </c>
      <c r="G2" s="3" t="inlineStr">
        <is>
          <t>列出所有灵感→按兴趣排序→初步可行性判断</t>
        </is>
      </c>
      <c r="H2" s="3" t="inlineStr">
        <is>
          <t>有3个以上可写题材，每个能用一句话描述</t>
        </is>
      </c>
      <c r="I2" s="3" t="inlineStr">
        <is>
          <t>无</t>
        </is>
      </c>
      <c r="J2" s="3" t="inlineStr">
        <is>
          <t>未开始</t>
        </is>
      </c>
      <c r="K2" s="3" t="n"/>
      <c r="L2" s="3" t="n"/>
      <c r="M2" s="3" t="n"/>
      <c r="N2" s="3" t="n"/>
    </row>
    <row r="3">
      <c r="A3" s="2" t="inlineStr">
        <is>
          <t>P1-题材定位期</t>
        </is>
      </c>
      <c r="B3" s="2" t="inlineStr">
        <is>
          <t>T1.2</t>
        </is>
      </c>
      <c r="C3" s="5" t="inlineStr">
        <is>
          <t>市场热度验证</t>
        </is>
      </c>
      <c r="D3" s="6" t="n">
        <v>45</v>
      </c>
      <c r="E3" s="5" t="inlineStr">
        <is>
          <t>3个候选题材</t>
        </is>
      </c>
      <c r="F3" s="5" t="inlineStr">
        <is>
          <t>市场数据报告</t>
        </is>
      </c>
      <c r="G3" s="5" t="inlineStr">
        <is>
          <t>查各平台榜单→记录同类书数量→判断红海/蓝海</t>
        </is>
      </c>
      <c r="H3" s="5" t="inlineStr">
        <is>
          <t>明确每个题材的市场饱和度（高/中/低）</t>
        </is>
      </c>
      <c r="I3" s="5" t="inlineStr">
        <is>
          <t>T1.1</t>
        </is>
      </c>
      <c r="J3" s="5" t="inlineStr">
        <is>
          <t>未开始</t>
        </is>
      </c>
      <c r="K3" s="5" t="n"/>
      <c r="L3" s="5" t="n"/>
      <c r="M3" s="5" t="n"/>
      <c r="N3" s="5" t="n"/>
    </row>
    <row r="4">
      <c r="A4" s="2" t="inlineStr">
        <is>
          <t>P1-题材定位期</t>
        </is>
      </c>
      <c r="B4" s="2" t="inlineStr">
        <is>
          <t>T1.3</t>
        </is>
      </c>
      <c r="C4" s="3" t="inlineStr">
        <is>
          <t>竞品拆解分析</t>
        </is>
      </c>
      <c r="D4" s="4" t="n">
        <v>60</v>
      </c>
      <c r="E4" s="3" t="inlineStr">
        <is>
          <t>选定题材</t>
        </is>
      </c>
      <c r="F4" s="3" t="inlineStr">
        <is>
          <t>竞品拆解表</t>
        </is>
      </c>
      <c r="G4" s="3" t="inlineStr">
        <is>
          <t>选3本竞品→拆结构/节奏/爽点/人设→找差异化空间</t>
        </is>
      </c>
      <c r="H4" s="3" t="inlineStr">
        <is>
          <t>3本竞品各拆出：结构模式、爽点分布、人设特点</t>
        </is>
      </c>
      <c r="I4" s="3" t="inlineStr">
        <is>
          <t>T1.2</t>
        </is>
      </c>
      <c r="J4" s="3" t="inlineStr">
        <is>
          <t>未开始</t>
        </is>
      </c>
      <c r="K4" s="3" t="n"/>
      <c r="L4" s="3" t="n"/>
      <c r="M4" s="3" t="n"/>
      <c r="N4" s="3" t="n"/>
    </row>
    <row r="5">
      <c r="A5" s="2" t="inlineStr">
        <is>
          <t>P1-题材定位期</t>
        </is>
      </c>
      <c r="B5" s="2" t="inlineStr">
        <is>
          <t>T1.4</t>
        </is>
      </c>
      <c r="C5" s="5" t="inlineStr">
        <is>
          <t>一句话卖点提炼</t>
        </is>
      </c>
      <c r="D5" s="6" t="n">
        <v>30</v>
      </c>
      <c r="E5" s="5" t="inlineStr">
        <is>
          <t>竞品拆解表</t>
        </is>
      </c>
      <c r="F5" s="5" t="inlineStr">
        <is>
          <t>一句话卖点</t>
        </is>
      </c>
      <c r="G5" s="5" t="inlineStr">
        <is>
          <t>用公式：[主角]+[金手指]+[核心冲突]+[独特设定]</t>
        </is>
      </c>
      <c r="H5" s="5" t="inlineStr">
        <is>
          <t>一句话能让陌生人产生阅读兴趣</t>
        </is>
      </c>
      <c r="I5" s="5" t="inlineStr">
        <is>
          <t>T1.3</t>
        </is>
      </c>
      <c r="J5" s="5" t="inlineStr">
        <is>
          <t>未开始</t>
        </is>
      </c>
      <c r="K5" s="5" t="n"/>
      <c r="L5" s="5" t="n"/>
      <c r="M5" s="5" t="n"/>
      <c r="N5" s="5" t="n"/>
    </row>
    <row r="6">
      <c r="A6" s="2" t="inlineStr">
        <is>
          <t>P1-题材定位期</t>
        </is>
      </c>
      <c r="B6" s="2" t="inlineStr">
        <is>
          <t>T1.5</t>
        </is>
      </c>
      <c r="C6" s="3" t="inlineStr">
        <is>
          <t>题材定位确认书</t>
        </is>
      </c>
      <c r="D6" s="4" t="n">
        <v>30</v>
      </c>
      <c r="E6" s="3" t="inlineStr">
        <is>
          <t>一句话卖点</t>
        </is>
      </c>
      <c r="F6" s="3" t="inlineStr">
        <is>
          <t>题材确认书</t>
        </is>
      </c>
      <c r="G6" s="3" t="inlineStr">
        <is>
          <t>填写定位确认书：题材、平台、字数目标、核心读者</t>
        </is>
      </c>
      <c r="H6" s="3" t="inlineStr">
        <is>
          <t>确认书所有项填满，无空白</t>
        </is>
      </c>
      <c r="I6" s="3" t="inlineStr">
        <is>
          <t>T1.4</t>
        </is>
      </c>
      <c r="J6" s="3" t="inlineStr">
        <is>
          <t>未开始</t>
        </is>
      </c>
      <c r="K6" s="3" t="n"/>
      <c r="L6" s="3" t="n"/>
      <c r="M6" s="3" t="n"/>
      <c r="N6" s="3" t="n"/>
    </row>
    <row r="7">
      <c r="A7" s="7" t="inlineStr">
        <is>
          <t>P2-世界观构建期</t>
        </is>
      </c>
      <c r="B7" s="7" t="inlineStr">
        <is>
          <t>T2.1</t>
        </is>
      </c>
      <c r="C7" s="5" t="inlineStr">
        <is>
          <t>核心规则设计</t>
        </is>
      </c>
      <c r="D7" s="6" t="n">
        <v>60</v>
      </c>
      <c r="E7" s="5" t="inlineStr">
        <is>
          <t>题材确认书</t>
        </is>
      </c>
      <c r="F7" s="5" t="inlineStr">
        <is>
          <t>核心规则文档</t>
        </is>
      </c>
      <c r="G7" s="5" t="inlineStr">
        <is>
          <t>确定世界运行的底层规则（修炼/科技/魔法体系）</t>
        </is>
      </c>
      <c r="H7" s="5" t="inlineStr">
        <is>
          <t>规则可量化、可分级、有明确限制条件</t>
        </is>
      </c>
      <c r="I7" s="5" t="inlineStr">
        <is>
          <t>T1.5</t>
        </is>
      </c>
      <c r="J7" s="5" t="inlineStr">
        <is>
          <t>未开始</t>
        </is>
      </c>
      <c r="K7" s="5" t="n"/>
      <c r="L7" s="5" t="n"/>
      <c r="M7" s="5" t="n"/>
      <c r="N7" s="5" t="n"/>
    </row>
    <row r="8">
      <c r="A8" s="7" t="inlineStr">
        <is>
          <t>P2-世界观构建期</t>
        </is>
      </c>
      <c r="B8" s="7" t="inlineStr">
        <is>
          <t>T2.2</t>
        </is>
      </c>
      <c r="C8" s="3" t="inlineStr">
        <is>
          <t>地理与地图</t>
        </is>
      </c>
      <c r="D8" s="4" t="n">
        <v>45</v>
      </c>
      <c r="E8" s="3" t="inlineStr">
        <is>
          <t>核心规则文档</t>
        </is>
      </c>
      <c r="F8" s="3" t="inlineStr">
        <is>
          <t>地理设定表</t>
        </is>
      </c>
      <c r="G8" s="3" t="inlineStr">
        <is>
          <t>设计主要大陆/城市/势力范围→标注关键地点</t>
        </is>
      </c>
      <c r="H8" s="3" t="inlineStr">
        <is>
          <t>有地图草图（文字描述版），地点&gt;=5个</t>
        </is>
      </c>
      <c r="I8" s="3" t="inlineStr">
        <is>
          <t>T2.1</t>
        </is>
      </c>
      <c r="J8" s="3" t="inlineStr">
        <is>
          <t>未开始</t>
        </is>
      </c>
      <c r="K8" s="3" t="n"/>
      <c r="L8" s="3" t="n"/>
      <c r="M8" s="3" t="n"/>
      <c r="N8" s="3" t="n"/>
    </row>
    <row r="9">
      <c r="A9" s="7" t="inlineStr">
        <is>
          <t>P2-世界观构建期</t>
        </is>
      </c>
      <c r="B9" s="7" t="inlineStr">
        <is>
          <t>T2.3</t>
        </is>
      </c>
      <c r="C9" s="5" t="inlineStr">
        <is>
          <t>势力与冲突格局</t>
        </is>
      </c>
      <c r="D9" s="6" t="n">
        <v>45</v>
      </c>
      <c r="E9" s="5" t="inlineStr">
        <is>
          <t>地理设定表</t>
        </is>
      </c>
      <c r="F9" s="5" t="inlineStr">
        <is>
          <t>势力分布表</t>
        </is>
      </c>
      <c r="G9" s="5" t="inlineStr">
        <is>
          <t>列出主要势力→标注立场（友/敌/中）→设计冲突根源</t>
        </is>
      </c>
      <c r="H9" s="5" t="inlineStr">
        <is>
          <t>&gt;=3个主要势力，每个有明确立场和利益诉求</t>
        </is>
      </c>
      <c r="I9" s="5" t="inlineStr">
        <is>
          <t>T2.2</t>
        </is>
      </c>
      <c r="J9" s="5" t="inlineStr">
        <is>
          <t>未开始</t>
        </is>
      </c>
      <c r="K9" s="5" t="n"/>
      <c r="L9" s="5" t="n"/>
      <c r="M9" s="5" t="n"/>
      <c r="N9" s="5" t="n"/>
    </row>
    <row r="10">
      <c r="A10" s="7" t="inlineStr">
        <is>
          <t>P2-世界观构建期</t>
        </is>
      </c>
      <c r="B10" s="7" t="inlineStr">
        <is>
          <t>T2.4</t>
        </is>
      </c>
      <c r="C10" s="3" t="inlineStr">
        <is>
          <t>历史与时间线</t>
        </is>
      </c>
      <c r="D10" s="4" t="n">
        <v>45</v>
      </c>
      <c r="E10" s="3" t="inlineStr">
        <is>
          <t>势力分布表</t>
        </is>
      </c>
      <c r="F10" s="3" t="inlineStr">
        <is>
          <t>历史年表</t>
        </is>
      </c>
      <c r="G10" s="3" t="inlineStr">
        <is>
          <t>梳理世界历史大事→标注与主线相关的历史事件</t>
        </is>
      </c>
      <c r="H10" s="3" t="inlineStr">
        <is>
          <t>有完整时间线，关键历史事件&gt;=5个</t>
        </is>
      </c>
      <c r="I10" s="3" t="inlineStr">
        <is>
          <t>T2.3</t>
        </is>
      </c>
      <c r="J10" s="3" t="inlineStr">
        <is>
          <t>未开始</t>
        </is>
      </c>
      <c r="K10" s="3" t="n"/>
      <c r="L10" s="3" t="n"/>
      <c r="M10" s="3" t="n"/>
      <c r="N10" s="3" t="n"/>
    </row>
    <row r="11">
      <c r="A11" s="7" t="inlineStr">
        <is>
          <t>P2-世界观构建期</t>
        </is>
      </c>
      <c r="B11" s="7" t="inlineStr">
        <is>
          <t>T2.5</t>
        </is>
      </c>
      <c r="C11" s="5" t="inlineStr">
        <is>
          <t>日常细节与名词词典</t>
        </is>
      </c>
      <c r="D11" s="6" t="n">
        <v>60</v>
      </c>
      <c r="E11" s="5" t="inlineStr">
        <is>
          <t>历史年表</t>
        </is>
      </c>
      <c r="F11" s="5" t="inlineStr">
        <is>
          <t>世界观档案+名词词典</t>
        </is>
      </c>
      <c r="G11" s="5" t="inlineStr">
        <is>
          <t>补充日常生活细节→整理所有专有名词</t>
        </is>
      </c>
      <c r="H11" s="5" t="inlineStr">
        <is>
          <t>名词词典&gt;=20条，日常细节覆盖衣食住行</t>
        </is>
      </c>
      <c r="I11" s="5" t="inlineStr">
        <is>
          <t>T2.4</t>
        </is>
      </c>
      <c r="J11" s="5" t="inlineStr">
        <is>
          <t>未开始</t>
        </is>
      </c>
      <c r="K11" s="5" t="n"/>
      <c r="L11" s="5" t="n"/>
      <c r="M11" s="5" t="n"/>
      <c r="N11" s="5" t="n"/>
    </row>
    <row r="12">
      <c r="A12" s="8" t="inlineStr">
        <is>
          <t>P3-角色设计期</t>
        </is>
      </c>
      <c r="B12" s="8" t="inlineStr">
        <is>
          <t>T3.1</t>
        </is>
      </c>
      <c r="C12" s="3" t="inlineStr">
        <is>
          <t>主角核心设定</t>
        </is>
      </c>
      <c r="D12" s="4" t="n">
        <v>45</v>
      </c>
      <c r="E12" s="3" t="inlineStr">
        <is>
          <t>世界观档案</t>
        </is>
      </c>
      <c r="F12" s="3" t="inlineStr">
        <is>
          <t>主角核心卡</t>
        </is>
      </c>
      <c r="G12" s="3" t="inlineStr">
        <is>
          <t>确定主角：姓名、年龄、身份、核心目标、深层动机</t>
        </is>
      </c>
      <c r="H12" s="3" t="inlineStr">
        <is>
          <t>核心目标具体可衡量，深层动机有情感根基</t>
        </is>
      </c>
      <c r="I12" s="3" t="inlineStr">
        <is>
          <t>T2.5</t>
        </is>
      </c>
      <c r="J12" s="3" t="inlineStr">
        <is>
          <t>未开始</t>
        </is>
      </c>
      <c r="K12" s="3" t="n"/>
      <c r="L12" s="3" t="n"/>
      <c r="M12" s="3" t="n"/>
      <c r="N12" s="3" t="n"/>
    </row>
    <row r="13">
      <c r="A13" s="8" t="inlineStr">
        <is>
          <t>P3-角色设计期</t>
        </is>
      </c>
      <c r="B13" s="8" t="inlineStr">
        <is>
          <t>T3.2</t>
        </is>
      </c>
      <c r="C13" s="5" t="inlineStr">
        <is>
          <t>主角弧光设计</t>
        </is>
      </c>
      <c r="D13" s="6" t="n">
        <v>45</v>
      </c>
      <c r="E13" s="5" t="inlineStr">
        <is>
          <t>主角核心卡</t>
        </is>
      </c>
      <c r="F13" s="5" t="inlineStr">
        <is>
          <t>主角弧光卡</t>
        </is>
      </c>
      <c r="G13" s="5" t="inlineStr">
        <is>
          <t>设计主角转变：起始状态→触发事件→转变过程→终点状态</t>
        </is>
      </c>
      <c r="H13" s="5" t="inlineStr">
        <is>
          <t>弧光有明确起点和终点，转变过程&gt;=3个阶段</t>
        </is>
      </c>
      <c r="I13" s="5" t="inlineStr">
        <is>
          <t>T3.1</t>
        </is>
      </c>
      <c r="J13" s="5" t="inlineStr">
        <is>
          <t>未开始</t>
        </is>
      </c>
      <c r="K13" s="5" t="n"/>
      <c r="L13" s="5" t="n"/>
      <c r="M13" s="5" t="n"/>
      <c r="N13" s="5" t="n"/>
    </row>
    <row r="14">
      <c r="A14" s="8" t="inlineStr">
        <is>
          <t>P3-角色设计期</t>
        </is>
      </c>
      <c r="B14" s="8" t="inlineStr">
        <is>
          <t>T3.3</t>
        </is>
      </c>
      <c r="C14" s="3" t="inlineStr">
        <is>
          <t>反派与对手设计</t>
        </is>
      </c>
      <c r="D14" s="4" t="n">
        <v>45</v>
      </c>
      <c r="E14" s="3" t="inlineStr">
        <is>
          <t>主角弧光卡</t>
        </is>
      </c>
      <c r="F14" s="3" t="inlineStr">
        <is>
          <t>反派设定卡</t>
        </is>
      </c>
      <c r="G14" s="3" t="inlineStr">
        <is>
          <t>设计主要反派：动机（非纯恶）、能力、与主角的镜像关系</t>
        </is>
      </c>
      <c r="H14" s="3" t="inlineStr">
        <is>
          <t>反派动机合理，与主角有深层联系</t>
        </is>
      </c>
      <c r="I14" s="3" t="inlineStr">
        <is>
          <t>T3.2</t>
        </is>
      </c>
      <c r="J14" s="3" t="inlineStr">
        <is>
          <t>未开始</t>
        </is>
      </c>
      <c r="K14" s="3" t="n"/>
      <c r="L14" s="3" t="n"/>
      <c r="M14" s="3" t="n"/>
      <c r="N14" s="3" t="n"/>
    </row>
    <row r="15">
      <c r="A15" s="8" t="inlineStr">
        <is>
          <t>P3-角色设计期</t>
        </is>
      </c>
      <c r="B15" s="8" t="inlineStr">
        <is>
          <t>T3.4</t>
        </is>
      </c>
      <c r="C15" s="5" t="inlineStr">
        <is>
          <t>导师与盟友设计</t>
        </is>
      </c>
      <c r="D15" s="6" t="n">
        <v>45</v>
      </c>
      <c r="E15" s="5" t="inlineStr">
        <is>
          <t>反派设定卡</t>
        </is>
      </c>
      <c r="F15" s="5" t="inlineStr">
        <is>
          <t>盟友设定卡</t>
        </is>
      </c>
      <c r="G15" s="5" t="inlineStr">
        <is>
          <t>设计导师（传授者）和盟友（陪伴者）各至少1人</t>
        </is>
      </c>
      <c r="H15" s="5" t="inlineStr">
        <is>
          <t>每个盟友有独立功能，不重复</t>
        </is>
      </c>
      <c r="I15" s="5" t="inlineStr">
        <is>
          <t>T3.3</t>
        </is>
      </c>
      <c r="J15" s="5" t="inlineStr">
        <is>
          <t>未开始</t>
        </is>
      </c>
      <c r="K15" s="5" t="n"/>
      <c r="L15" s="5" t="n"/>
      <c r="M15" s="5" t="n"/>
      <c r="N15" s="5" t="n"/>
    </row>
    <row r="16">
      <c r="A16" s="8" t="inlineStr">
        <is>
          <t>P3-角色设计期</t>
        </is>
      </c>
      <c r="B16" s="8" t="inlineStr">
        <is>
          <t>T3.5</t>
        </is>
      </c>
      <c r="C16" s="3" t="inlineStr">
        <is>
          <t>群像平衡检查</t>
        </is>
      </c>
      <c r="D16" s="4" t="n">
        <v>30</v>
      </c>
      <c r="E16" s="3" t="inlineStr">
        <is>
          <t>盟友设定卡</t>
        </is>
      </c>
      <c r="F16" s="3" t="inlineStr">
        <is>
          <t>角色关系网</t>
        </is>
      </c>
      <c r="G16" s="3" t="inlineStr">
        <is>
          <t>检查所有角色：功能是否重复？戏份是否均衡？</t>
        </is>
      </c>
      <c r="H16" s="3" t="inlineStr">
        <is>
          <t>无功能重复角色，主角戏份&gt;=60%</t>
        </is>
      </c>
      <c r="I16" s="3" t="inlineStr">
        <is>
          <t>T3.4</t>
        </is>
      </c>
      <c r="J16" s="3" t="inlineStr">
        <is>
          <t>未开始</t>
        </is>
      </c>
      <c r="K16" s="3" t="n"/>
      <c r="L16" s="3" t="n"/>
      <c r="M16" s="3" t="n"/>
      <c r="N16" s="3" t="n"/>
    </row>
    <row r="17">
      <c r="A17" s="9" t="inlineStr">
        <is>
          <t>P4-大纲编写期</t>
        </is>
      </c>
      <c r="B17" s="9" t="inlineStr">
        <is>
          <t>T4.1</t>
        </is>
      </c>
      <c r="C17" s="5" t="inlineStr">
        <is>
          <t>全书骨架设计</t>
        </is>
      </c>
      <c r="D17" s="6" t="n">
        <v>60</v>
      </c>
      <c r="E17" s="5" t="inlineStr">
        <is>
          <t>角色关系网</t>
        </is>
      </c>
      <c r="F17" s="5" t="inlineStr">
        <is>
          <t>全书骨架图</t>
        </is>
      </c>
      <c r="G17" s="5" t="inlineStr">
        <is>
          <t>确定：起承转合四段、每段核心事件、全书高潮位置</t>
        </is>
      </c>
      <c r="H17" s="5" t="inlineStr">
        <is>
          <t>骨架覆盖全书，高潮位于70-80%处</t>
        </is>
      </c>
      <c r="I17" s="5" t="inlineStr">
        <is>
          <t>T3.5</t>
        </is>
      </c>
      <c r="J17" s="5" t="inlineStr">
        <is>
          <t>未开始</t>
        </is>
      </c>
      <c r="K17" s="5" t="n"/>
      <c r="L17" s="5" t="n"/>
      <c r="M17" s="5" t="n"/>
      <c r="N17" s="5" t="n"/>
    </row>
    <row r="18">
      <c r="A18" s="9" t="inlineStr">
        <is>
          <t>P4-大纲编写期</t>
        </is>
      </c>
      <c r="B18" s="9" t="inlineStr">
        <is>
          <t>T4.2</t>
        </is>
      </c>
      <c r="C18" s="3" t="inlineStr">
        <is>
          <t>卷规划与卷高潮</t>
        </is>
      </c>
      <c r="D18" s="4" t="n">
        <v>60</v>
      </c>
      <c r="E18" s="3" t="inlineStr">
        <is>
          <t>全书骨架图</t>
        </is>
      </c>
      <c r="F18" s="3" t="inlineStr">
        <is>
          <t>卷规划表</t>
        </is>
      </c>
      <c r="G18" s="3" t="inlineStr">
        <is>
          <t>将全书分为3-5卷→每卷设计独立高潮→标注卷间关联</t>
        </is>
      </c>
      <c r="H18" s="3" t="inlineStr">
        <is>
          <t>每卷有独立高潮，卷间有过渡钩子</t>
        </is>
      </c>
      <c r="I18" s="3" t="inlineStr">
        <is>
          <t>T4.1</t>
        </is>
      </c>
      <c r="J18" s="3" t="inlineStr">
        <is>
          <t>未开始</t>
        </is>
      </c>
      <c r="K18" s="3" t="n"/>
      <c r="L18" s="3" t="n"/>
      <c r="M18" s="3" t="n"/>
      <c r="N18" s="3" t="n"/>
    </row>
    <row r="19">
      <c r="A19" s="9" t="inlineStr">
        <is>
          <t>P4-大纲编写期</t>
        </is>
      </c>
      <c r="B19" s="9" t="inlineStr">
        <is>
          <t>T4.3</t>
        </is>
      </c>
      <c r="C19" s="5" t="inlineStr">
        <is>
          <t>章规划与爽点分布</t>
        </is>
      </c>
      <c r="D19" s="6" t="n">
        <v>90</v>
      </c>
      <c r="E19" s="5" t="inlineStr">
        <is>
          <t>卷规划表</t>
        </is>
      </c>
      <c r="F19" s="5" t="inlineStr">
        <is>
          <t>章规划表</t>
        </is>
      </c>
      <c r="G19" s="5" t="inlineStr">
        <is>
          <t>每卷拆为章→每章标注类型和爽点标签→计算爽点间距</t>
        </is>
      </c>
      <c r="H19" s="5" t="inlineStr">
        <is>
          <t>爽点间距&lt;=5章，无连续10章无爽点</t>
        </is>
      </c>
      <c r="I19" s="5" t="inlineStr">
        <is>
          <t>T4.2</t>
        </is>
      </c>
      <c r="J19" s="5" t="inlineStr">
        <is>
          <t>未开始</t>
        </is>
      </c>
      <c r="K19" s="5" t="n"/>
      <c r="L19" s="5" t="n"/>
      <c r="M19" s="5" t="n"/>
      <c r="N19" s="5" t="n"/>
    </row>
    <row r="20">
      <c r="A20" s="9" t="inlineStr">
        <is>
          <t>P4-大纲编写期</t>
        </is>
      </c>
      <c r="B20" s="9" t="inlineStr">
        <is>
          <t>T4.4</t>
        </is>
      </c>
      <c r="C20" s="3" t="inlineStr">
        <is>
          <t>节奏校准与沙漠区消除</t>
        </is>
      </c>
      <c r="D20" s="4" t="n">
        <v>45</v>
      </c>
      <c r="E20" s="3" t="inlineStr">
        <is>
          <t>章规划表</t>
        </is>
      </c>
      <c r="F20" s="3" t="inlineStr">
        <is>
          <t>节奏校准报告</t>
        </is>
      </c>
      <c r="G20" s="3" t="inlineStr">
        <is>
          <t>检查每10章区间：是否有爽点？情绪是否有起伏？</t>
        </is>
      </c>
      <c r="H20" s="3" t="inlineStr">
        <is>
          <t>所有10章区间至少1个爽点，情绪曲线有起伏</t>
        </is>
      </c>
      <c r="I20" s="3" t="inlineStr">
        <is>
          <t>T4.3</t>
        </is>
      </c>
      <c r="J20" s="3" t="inlineStr">
        <is>
          <t>未开始</t>
        </is>
      </c>
      <c r="K20" s="3" t="n"/>
      <c r="L20" s="3" t="n"/>
      <c r="M20" s="3" t="n"/>
      <c r="N20" s="3" t="n"/>
    </row>
    <row r="21">
      <c r="A21" s="9" t="inlineStr">
        <is>
          <t>P4-大纲编写期</t>
        </is>
      </c>
      <c r="B21" s="9" t="inlineStr">
        <is>
          <t>T4.5</t>
        </is>
      </c>
      <c r="C21" s="5" t="inlineStr">
        <is>
          <t>伏笔闭环检查</t>
        </is>
      </c>
      <c r="D21" s="6" t="n">
        <v>45</v>
      </c>
      <c r="E21" s="5" t="inlineStr">
        <is>
          <t>节奏校准报告</t>
        </is>
      </c>
      <c r="F21" s="5" t="inlineStr">
        <is>
          <t>伏笔规划表</t>
        </is>
      </c>
      <c r="G21" s="5" t="inlineStr">
        <is>
          <t>列出所有伏笔→标注埋设章和回收章→检查是否有未回收</t>
        </is>
      </c>
      <c r="H21" s="5" t="inlineStr">
        <is>
          <t>所有伏笔有埋有收，重要伏笔回收率100%</t>
        </is>
      </c>
      <c r="I21" s="5" t="inlineStr">
        <is>
          <t>T4.4</t>
        </is>
      </c>
      <c r="J21" s="5" t="inlineStr">
        <is>
          <t>未开始</t>
        </is>
      </c>
      <c r="K21" s="5" t="n"/>
      <c r="L21" s="5" t="n"/>
      <c r="M21" s="5" t="n"/>
      <c r="N21" s="5" t="n"/>
    </row>
    <row r="22">
      <c r="A22" s="10" t="inlineStr">
        <is>
          <t>P5-细纲拆解期</t>
        </is>
      </c>
      <c r="B22" s="10" t="inlineStr">
        <is>
          <t>T5.1</t>
        </is>
      </c>
      <c r="C22" s="3" t="inlineStr">
        <is>
          <t>场景清单梳理</t>
        </is>
      </c>
      <c r="D22" s="4" t="n">
        <v>60</v>
      </c>
      <c r="E22" s="3" t="inlineStr">
        <is>
          <t>章规划表</t>
        </is>
      </c>
      <c r="F22" s="3" t="inlineStr">
        <is>
          <t>场景清单</t>
        </is>
      </c>
      <c r="G22" s="3" t="inlineStr">
        <is>
          <t>每章拆为场景→标注地点、出场角色、场景功能</t>
        </is>
      </c>
      <c r="H22" s="3" t="inlineStr">
        <is>
          <t>每章&gt;=2个场景，场景功能明确（推进/揭示/冲突）</t>
        </is>
      </c>
      <c r="I22" s="3" t="inlineStr">
        <is>
          <t>T4.5</t>
        </is>
      </c>
      <c r="J22" s="3" t="inlineStr">
        <is>
          <t>未开始</t>
        </is>
      </c>
      <c r="K22" s="3" t="n"/>
      <c r="L22" s="3" t="n"/>
      <c r="M22" s="3" t="n"/>
      <c r="N22" s="3" t="n"/>
    </row>
    <row r="23">
      <c r="A23" s="10" t="inlineStr">
        <is>
          <t>P5-细纲拆解期</t>
        </is>
      </c>
      <c r="B23" s="10" t="inlineStr">
        <is>
          <t>T5.2</t>
        </is>
      </c>
      <c r="C23" s="5" t="inlineStr">
        <is>
          <t>动作链设计</t>
        </is>
      </c>
      <c r="D23" s="6" t="n">
        <v>45</v>
      </c>
      <c r="E23" s="5" t="inlineStr">
        <is>
          <t>场景清单</t>
        </is>
      </c>
      <c r="F23" s="5" t="inlineStr">
        <is>
          <t>动作链表</t>
        </is>
      </c>
      <c r="G23" s="5" t="inlineStr">
        <is>
          <t>每个场景设计动作序列：角色做了什么→导致什么→引出什么</t>
        </is>
      </c>
      <c r="H23" s="5" t="inlineStr">
        <is>
          <t>每个场景有&gt;=3个连续动作，动作有因果关系</t>
        </is>
      </c>
      <c r="I23" s="5" t="inlineStr">
        <is>
          <t>T5.1</t>
        </is>
      </c>
      <c r="J23" s="5" t="inlineStr">
        <is>
          <t>未开始</t>
        </is>
      </c>
      <c r="K23" s="5" t="n"/>
      <c r="L23" s="5" t="n"/>
      <c r="M23" s="5" t="n"/>
      <c r="N23" s="5" t="n"/>
    </row>
    <row r="24">
      <c r="A24" s="10" t="inlineStr">
        <is>
          <t>P5-细纲拆解期</t>
        </is>
      </c>
      <c r="B24" s="10" t="inlineStr">
        <is>
          <t>T5.3</t>
        </is>
      </c>
      <c r="C24" s="3" t="inlineStr">
        <is>
          <t>冲突升级设计</t>
        </is>
      </c>
      <c r="D24" s="4" t="n">
        <v>45</v>
      </c>
      <c r="E24" s="3" t="inlineStr">
        <is>
          <t>动作链表</t>
        </is>
      </c>
      <c r="F24" s="3" t="inlineStr">
        <is>
          <t>冲突升级表</t>
        </is>
      </c>
      <c r="G24" s="3" t="inlineStr">
        <is>
          <t>检查冲突强度：是否逐章升级？是否有足够阻力？</t>
        </is>
      </c>
      <c r="H24" s="3" t="inlineStr">
        <is>
          <t>冲突强度逐章递增，每章至少1个冲突点</t>
        </is>
      </c>
      <c r="I24" s="3" t="inlineStr">
        <is>
          <t>T5.2</t>
        </is>
      </c>
      <c r="J24" s="3" t="inlineStr">
        <is>
          <t>未开始</t>
        </is>
      </c>
      <c r="K24" s="3" t="n"/>
      <c r="L24" s="3" t="n"/>
      <c r="M24" s="3" t="n"/>
      <c r="N24" s="3" t="n"/>
    </row>
    <row r="25">
      <c r="A25" s="10" t="inlineStr">
        <is>
          <t>P5-细纲拆解期</t>
        </is>
      </c>
      <c r="B25" s="10" t="inlineStr">
        <is>
          <t>T5.4</t>
        </is>
      </c>
      <c r="C25" s="5" t="inlineStr">
        <is>
          <t>钩子布置清单</t>
        </is>
      </c>
      <c r="D25" s="6" t="n">
        <v>45</v>
      </c>
      <c r="E25" s="5" t="inlineStr">
        <is>
          <t>冲突升级表</t>
        </is>
      </c>
      <c r="F25" s="5" t="inlineStr">
        <is>
          <t>钩子清单</t>
        </is>
      </c>
      <c r="G25" s="5" t="inlineStr">
        <is>
          <t>每章标注：开篇钩子、章内钩子、收尾钩子</t>
        </is>
      </c>
      <c r="H25" s="5" t="inlineStr">
        <is>
          <t>每章&gt;=2个钩子，收尾钩子必须引出下章</t>
        </is>
      </c>
      <c r="I25" s="5" t="inlineStr">
        <is>
          <t>T5.3</t>
        </is>
      </c>
      <c r="J25" s="5" t="inlineStr">
        <is>
          <t>未开始</t>
        </is>
      </c>
      <c r="K25" s="5" t="n"/>
      <c r="L25" s="5" t="n"/>
      <c r="M25" s="5" t="n"/>
      <c r="N25" s="5" t="n"/>
    </row>
    <row r="26">
      <c r="A26" s="10" t="inlineStr">
        <is>
          <t>P5-细纲拆解期</t>
        </is>
      </c>
      <c r="B26" s="10" t="inlineStr">
        <is>
          <t>T5.5</t>
        </is>
      </c>
      <c r="C26" s="3" t="inlineStr">
        <is>
          <t>情感曲线校准</t>
        </is>
      </c>
      <c r="D26" s="4" t="n">
        <v>30</v>
      </c>
      <c r="E26" s="3" t="inlineStr">
        <is>
          <t>钩子清单</t>
        </is>
      </c>
      <c r="F26" s="3" t="inlineStr">
        <is>
          <t>情感曲线图数据</t>
        </is>
      </c>
      <c r="G26" s="3" t="inlineStr">
        <is>
          <t>标注每章读者情感：压抑/期待/爽/紧张/感动→检查曲线</t>
        </is>
      </c>
      <c r="H26" s="3" t="inlineStr">
        <is>
          <t>情感曲线有起伏，无连续5章同情绪</t>
        </is>
      </c>
      <c r="I26" s="3" t="inlineStr">
        <is>
          <t>T5.4</t>
        </is>
      </c>
      <c r="J26" s="3" t="inlineStr">
        <is>
          <t>未开始</t>
        </is>
      </c>
      <c r="K26" s="3" t="n"/>
      <c r="L26" s="3" t="n"/>
      <c r="M26" s="3" t="n"/>
      <c r="N26" s="3" t="n"/>
    </row>
    <row r="27">
      <c r="A27" s="11" t="inlineStr">
        <is>
          <t>P6-正文写作期</t>
        </is>
      </c>
      <c r="B27" s="11" t="inlineStr">
        <is>
          <t>T6.1</t>
        </is>
      </c>
      <c r="C27" s="5" t="inlineStr">
        <is>
          <t>开篇300字打磨</t>
        </is>
      </c>
      <c r="D27" s="6" t="n">
        <v>45</v>
      </c>
      <c r="E27" s="5" t="inlineStr">
        <is>
          <t>情感曲线图</t>
        </is>
      </c>
      <c r="F27" s="5" t="inlineStr">
        <is>
          <t>开篇定稿</t>
        </is>
      </c>
      <c r="G27" s="5" t="inlineStr">
        <is>
          <t>反复打磨前300字：主角+冲突+钩子必须在300字内出现</t>
        </is>
      </c>
      <c r="H27" s="5" t="inlineStr">
        <is>
          <t>300字内出现主角、核心冲突、阅读钩子</t>
        </is>
      </c>
      <c r="I27" s="5" t="inlineStr">
        <is>
          <t>T5.5</t>
        </is>
      </c>
      <c r="J27" s="5" t="inlineStr">
        <is>
          <t>未开始</t>
        </is>
      </c>
      <c r="K27" s="5" t="n"/>
      <c r="L27" s="5" t="n"/>
      <c r="M27" s="5" t="n"/>
      <c r="N27" s="5" t="n"/>
    </row>
    <row r="28">
      <c r="A28" s="11" t="inlineStr">
        <is>
          <t>P6-正文写作期</t>
        </is>
      </c>
      <c r="B28" s="11" t="inlineStr">
        <is>
          <t>T6.2</t>
        </is>
      </c>
      <c r="C28" s="3" t="inlineStr">
        <is>
          <t>场景切入与五感</t>
        </is>
      </c>
      <c r="D28" s="4" t="n">
        <v>30</v>
      </c>
      <c r="E28" s="3" t="inlineStr">
        <is>
          <t>开篇定稿</t>
        </is>
      </c>
      <c r="F28" s="3" t="inlineStr">
        <is>
          <t>场景段落</t>
        </is>
      </c>
      <c r="G28" s="3" t="inlineStr">
        <is>
          <t>每个场景开头用五感（视/听/嗅/味/触）建立画面感</t>
        </is>
      </c>
      <c r="H28" s="3" t="inlineStr">
        <is>
          <t>关键场景使用&gt;=3种感官描写</t>
        </is>
      </c>
      <c r="I28" s="3" t="inlineStr">
        <is>
          <t>T6.1</t>
        </is>
      </c>
      <c r="J28" s="3" t="inlineStr">
        <is>
          <t>未开始</t>
        </is>
      </c>
      <c r="K28" s="3" t="n"/>
      <c r="L28" s="3" t="n"/>
      <c r="M28" s="3" t="n"/>
      <c r="N28" s="3" t="n"/>
    </row>
    <row r="29">
      <c r="A29" s="11" t="inlineStr">
        <is>
          <t>P6-正文写作期</t>
        </is>
      </c>
      <c r="B29" s="11" t="inlineStr">
        <is>
          <t>T6.3</t>
        </is>
      </c>
      <c r="C29" s="5" t="inlineStr">
        <is>
          <t>对话与信息传递</t>
        </is>
      </c>
      <c r="D29" s="6" t="n">
        <v>30</v>
      </c>
      <c r="E29" s="5" t="inlineStr">
        <is>
          <t>场景段落</t>
        </is>
      </c>
      <c r="F29" s="5" t="inlineStr">
        <is>
          <t>对话段落</t>
        </is>
      </c>
      <c r="G29" s="5" t="inlineStr">
        <is>
          <t>设计对话：每句有目的（推进/揭示/冲突/塑造性格）</t>
        </is>
      </c>
      <c r="H29" s="5" t="inlineStr">
        <is>
          <t>无废话对话，每段对话传递&gt;=1个信息</t>
        </is>
      </c>
      <c r="I29" s="5" t="inlineStr">
        <is>
          <t>T6.2</t>
        </is>
      </c>
      <c r="J29" s="5" t="inlineStr">
        <is>
          <t>未开始</t>
        </is>
      </c>
      <c r="K29" s="5" t="n"/>
      <c r="L29" s="5" t="n"/>
      <c r="M29" s="5" t="n"/>
      <c r="N29" s="5" t="n"/>
    </row>
    <row r="30">
      <c r="A30" s="11" t="inlineStr">
        <is>
          <t>P6-正文写作期</t>
        </is>
      </c>
      <c r="B30" s="11" t="inlineStr">
        <is>
          <t>T6.4</t>
        </is>
      </c>
      <c r="C30" s="3" t="inlineStr">
        <is>
          <t>高潮场景写作</t>
        </is>
      </c>
      <c r="D30" s="4" t="n">
        <v>45</v>
      </c>
      <c r="E30" s="3" t="inlineStr">
        <is>
          <t>对话段落</t>
        </is>
      </c>
      <c r="F30" s="3" t="inlineStr">
        <is>
          <t>高潮段落</t>
        </is>
      </c>
      <c r="G30" s="3" t="inlineStr">
        <is>
          <t>高潮场景：多重冲突叠加+主角极限状态+情感爆发</t>
        </is>
      </c>
      <c r="H30" s="3" t="inlineStr">
        <is>
          <t>高潮有&gt;=2重冲突，主角处于极限，读者情绪被调动</t>
        </is>
      </c>
      <c r="I30" s="3" t="inlineStr">
        <is>
          <t>T6.3</t>
        </is>
      </c>
      <c r="J30" s="3" t="inlineStr">
        <is>
          <t>未开始</t>
        </is>
      </c>
      <c r="K30" s="3" t="n"/>
      <c r="L30" s="3" t="n"/>
      <c r="M30" s="3" t="n"/>
      <c r="N30" s="3" t="n"/>
    </row>
    <row r="31">
      <c r="A31" s="11" t="inlineStr">
        <is>
          <t>P6-正文写作期</t>
        </is>
      </c>
      <c r="B31" s="11" t="inlineStr">
        <is>
          <t>T6.5</t>
        </is>
      </c>
      <c r="C31" s="5" t="inlineStr">
        <is>
          <t>收尾钩子设计</t>
        </is>
      </c>
      <c r="D31" s="6" t="n">
        <v>15</v>
      </c>
      <c r="E31" s="5" t="inlineStr">
        <is>
          <t>高潮段落</t>
        </is>
      </c>
      <c r="F31" s="5" t="inlineStr">
        <is>
          <t>章节收尾</t>
        </is>
      </c>
      <c r="G31" s="5" t="inlineStr">
        <is>
          <t>每章结尾设计钩子：悬念/危机/反转/期待</t>
        </is>
      </c>
      <c r="H31" s="5" t="inlineStr">
        <is>
          <t>每章结尾有明确钩子，读者想点开下一章</t>
        </is>
      </c>
      <c r="I31" s="5" t="inlineStr">
        <is>
          <t>T6.4</t>
        </is>
      </c>
      <c r="J31" s="5" t="inlineStr">
        <is>
          <t>未开始</t>
        </is>
      </c>
      <c r="K31" s="5" t="n"/>
      <c r="L31" s="5" t="n"/>
      <c r="M31" s="5" t="n"/>
      <c r="N31" s="5" t="n"/>
    </row>
    <row r="32">
      <c r="A32" s="12" t="inlineStr">
        <is>
          <t>P7-修订发布期</t>
        </is>
      </c>
      <c r="B32" s="12" t="inlineStr">
        <is>
          <t>T7.1</t>
        </is>
      </c>
      <c r="C32" s="3" t="inlineStr">
        <is>
          <t>结构修订</t>
        </is>
      </c>
      <c r="D32" s="4" t="n">
        <v>90</v>
      </c>
      <c r="E32" s="3" t="inlineStr">
        <is>
          <t>完整正文</t>
        </is>
      </c>
      <c r="F32" s="3" t="inlineStr">
        <is>
          <t>结构修订稿</t>
        </is>
      </c>
      <c r="G32" s="3" t="inlineStr">
        <is>
          <t>第一轮：检查整体结构→删冗余章→补过渡→调顺序</t>
        </is>
      </c>
      <c r="H32" s="3" t="inlineStr">
        <is>
          <t>结构完整，无逻辑断层，节奏合理</t>
        </is>
      </c>
      <c r="I32" s="3" t="inlineStr">
        <is>
          <t>T6.5</t>
        </is>
      </c>
      <c r="J32" s="3" t="inlineStr">
        <is>
          <t>未开始</t>
        </is>
      </c>
      <c r="K32" s="3" t="n"/>
      <c r="L32" s="3" t="n"/>
      <c r="M32" s="3" t="n"/>
      <c r="N32" s="3" t="n"/>
    </row>
    <row r="33">
      <c r="A33" s="12" t="inlineStr">
        <is>
          <t>P7-修订发布期</t>
        </is>
      </c>
      <c r="B33" s="12" t="inlineStr">
        <is>
          <t>T7.2</t>
        </is>
      </c>
      <c r="C33" s="5" t="inlineStr">
        <is>
          <t>节奏修订</t>
        </is>
      </c>
      <c r="D33" s="6" t="n">
        <v>60</v>
      </c>
      <c r="E33" s="5" t="inlineStr">
        <is>
          <t>结构修订稿</t>
        </is>
      </c>
      <c r="F33" s="5" t="inlineStr">
        <is>
          <t>节奏修订稿</t>
        </is>
      </c>
      <c r="G33" s="5" t="inlineStr">
        <is>
          <t>第二轮：检查每章节奏→删慢热段落→加爽点→调情绪</t>
        </is>
      </c>
      <c r="H33" s="5" t="inlineStr">
        <is>
          <t>无连续3章无爽点，情绪曲线流畅</t>
        </is>
      </c>
      <c r="I33" s="5" t="inlineStr">
        <is>
          <t>T7.1</t>
        </is>
      </c>
      <c r="J33" s="5" t="inlineStr">
        <is>
          <t>未开始</t>
        </is>
      </c>
      <c r="K33" s="5" t="n"/>
      <c r="L33" s="5" t="n"/>
      <c r="M33" s="5" t="n"/>
      <c r="N33" s="5" t="n"/>
    </row>
    <row r="34">
      <c r="A34" s="12" t="inlineStr">
        <is>
          <t>P7-修订发布期</t>
        </is>
      </c>
      <c r="B34" s="12" t="inlineStr">
        <is>
          <t>T7.3</t>
        </is>
      </c>
      <c r="C34" s="3" t="inlineStr">
        <is>
          <t>细节修订</t>
        </is>
      </c>
      <c r="D34" s="4" t="n">
        <v>60</v>
      </c>
      <c r="E34" s="3" t="inlineStr">
        <is>
          <t>节奏修订稿</t>
        </is>
      </c>
      <c r="F34" s="3" t="inlineStr">
        <is>
          <t>细节修订稿</t>
        </is>
      </c>
      <c r="G34" s="3" t="inlineStr">
        <is>
          <t>第三轮：检查细节→修BUG→统一设定→补描写</t>
        </is>
      </c>
      <c r="H34" s="3" t="inlineStr">
        <is>
          <t>世界观无矛盾，伏笔全部回收，描写一致</t>
        </is>
      </c>
      <c r="I34" s="3" t="inlineStr">
        <is>
          <t>T7.2</t>
        </is>
      </c>
      <c r="J34" s="3" t="inlineStr">
        <is>
          <t>未开始</t>
        </is>
      </c>
      <c r="K34" s="3" t="n"/>
      <c r="L34" s="3" t="n"/>
      <c r="M34" s="3" t="n"/>
      <c r="N34" s="3" t="n"/>
    </row>
    <row r="35">
      <c r="A35" s="12" t="inlineStr">
        <is>
          <t>P7-修订发布期</t>
        </is>
      </c>
      <c r="B35" s="12" t="inlineStr">
        <is>
          <t>T7.4</t>
        </is>
      </c>
      <c r="C35" s="5" t="inlineStr">
        <is>
          <t>润色与统一</t>
        </is>
      </c>
      <c r="D35" s="6" t="n">
        <v>45</v>
      </c>
      <c r="E35" s="5" t="inlineStr">
        <is>
          <t>细节修订稿</t>
        </is>
      </c>
      <c r="F35" s="5" t="inlineStr">
        <is>
          <t>润色稿</t>
        </is>
      </c>
      <c r="G35" s="5" t="inlineStr">
        <is>
          <t>润色：统一文风→精简冗余→优化句式→检查标点</t>
        </is>
      </c>
      <c r="H35" s="5" t="inlineStr">
        <is>
          <t>文风统一，无冗余句，标点规范</t>
        </is>
      </c>
      <c r="I35" s="5" t="inlineStr">
        <is>
          <t>T7.3</t>
        </is>
      </c>
      <c r="J35" s="5" t="inlineStr">
        <is>
          <t>未开始</t>
        </is>
      </c>
      <c r="K35" s="5" t="n"/>
      <c r="L35" s="5" t="n"/>
      <c r="M35" s="5" t="n"/>
      <c r="N35" s="5" t="n"/>
    </row>
    <row r="36">
      <c r="A36" s="12" t="inlineStr">
        <is>
          <t>P7-修订发布期</t>
        </is>
      </c>
      <c r="B36" s="12" t="inlineStr">
        <is>
          <t>T7.5</t>
        </is>
      </c>
      <c r="C36" s="3" t="inlineStr">
        <is>
          <t>发布前检查</t>
        </is>
      </c>
      <c r="D36" s="4" t="n">
        <v>30</v>
      </c>
      <c r="E36" s="3" t="inlineStr">
        <is>
          <t>润色稿</t>
        </is>
      </c>
      <c r="F36" s="3" t="inlineStr">
        <is>
          <t>终稿</t>
        </is>
      </c>
      <c r="G36" s="3" t="inlineStr">
        <is>
          <t>最终检查：10项清单→格式→错别字→简介→封面</t>
        </is>
      </c>
      <c r="H36" s="3" t="inlineStr">
        <is>
          <t>10项检查全部通过，可发布</t>
        </is>
      </c>
      <c r="I36" s="3" t="inlineStr">
        <is>
          <t>T7.4</t>
        </is>
      </c>
      <c r="J36" s="3" t="inlineStr">
        <is>
          <t>未开始</t>
        </is>
      </c>
      <c r="K36" s="3" t="n"/>
      <c r="L36" s="3" t="n"/>
      <c r="M36" s="3" t="n"/>
      <c r="N36" s="3" t="n"/>
    </row>
  </sheetData>
  <dataValidations count="1">
    <dataValidation sqref="J2:J36" showDropDown="0" showInputMessage="0" showErrorMessage="0" allowBlank="1" errorTitle="输入错误" error="请从下拉列表中选择" type="list">
      <formula1>"未开始,进行中,已完成,阻塞"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4472C4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55" customWidth="1" min="3" max="3"/>
    <col width="21" customWidth="1" min="4" max="4"/>
    <col width="16" customWidth="1" min="5" max="5"/>
    <col width="32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T1.1 灵感筛选</t>
        </is>
      </c>
      <c r="B2" s="3" t="inlineStr">
        <is>
          <t>灵感池表格</t>
        </is>
      </c>
      <c r="C2" s="3" t="inlineStr">
        <is>
          <t>1.列出所有灵感
2.按兴趣度1-10打分
3.按可行性1-10打分
4.选总分最高的3个</t>
        </is>
      </c>
      <c r="D2" s="3" t="inlineStr">
        <is>
          <t>有3个候选，每个能写100万字</t>
        </is>
      </c>
      <c r="E2" s="3" t="inlineStr">
        <is>
          <t>只凭兴趣选，不考虑市场</t>
        </is>
      </c>
      <c r="F2" s="3" t="inlineStr">
        <is>
          <t>灵感：废柴逆袭修仙→兴趣9分/可行性8分</t>
        </is>
      </c>
    </row>
    <row r="3">
      <c r="A3" s="5" t="inlineStr">
        <is>
          <t>T1.2 市场验证</t>
        </is>
      </c>
      <c r="B3" s="5" t="inlineStr">
        <is>
          <t>市场数据表</t>
        </is>
      </c>
      <c r="C3" s="5" t="inlineStr">
        <is>
          <t>1.打开起点/番茄/飞卢
2.搜同类关键词
3.记录：书名/字数/在读/评分
4.判断红海/蓝海</t>
        </is>
      </c>
      <c r="D3" s="5" t="inlineStr">
        <is>
          <t>明确市场饱和度等级</t>
        </is>
      </c>
      <c r="E3" s="5" t="inlineStr">
        <is>
          <t>只看1个平台</t>
        </is>
      </c>
      <c r="F3" s="5" t="inlineStr">
        <is>
          <t>搜修仙: 前100本中50万+字的有30本→红海</t>
        </is>
      </c>
    </row>
    <row r="4">
      <c r="A4" s="3" t="inlineStr">
        <is>
          <t>T1.3 竞品拆解</t>
        </is>
      </c>
      <c r="B4" s="3" t="inlineStr">
        <is>
          <t>竞品拆解表</t>
        </is>
      </c>
      <c r="C4" s="3" t="inlineStr">
        <is>
          <t>1.选3本完结/连载中的同类书
2.拆：前10章结构
3.拆：爽点分布
4.拆：人设特点
5.找差异化</t>
        </is>
      </c>
      <c r="D4" s="3" t="inlineStr">
        <is>
          <t>3本竞品拆解完成，找到至少1个差异化点</t>
        </is>
      </c>
      <c r="E4" s="3" t="inlineStr">
        <is>
          <t>拆得太粗，只记书名</t>
        </is>
      </c>
      <c r="F4" s="3" t="inlineStr">
        <is>
          <t>竞品A：前10章每章1爽点→我可以每章2爽点</t>
        </is>
      </c>
    </row>
    <row r="5">
      <c r="A5" s="5" t="inlineStr">
        <is>
          <t>T1.4 卖点提炼</t>
        </is>
      </c>
      <c r="B5" s="5" t="inlineStr">
        <is>
          <t>卖点公式模板</t>
        </is>
      </c>
      <c r="C5" s="5" t="inlineStr">
        <is>
          <t>填空：[主角]+[金手指]+[核心冲突]+[独特设定]
例：废柴少年+能吞噬他人修为的焚天炉+被宗门追杀的逃亡之路+炉中藏着上古魔神</t>
        </is>
      </c>
      <c r="D5" s="5" t="inlineStr">
        <is>
          <t>一句话&lt;50字，陌生人听了想读</t>
        </is>
      </c>
      <c r="E5" s="5" t="inlineStr">
        <is>
          <t>卖点太泛：一个少年修仙的故事</t>
        </is>
      </c>
      <c r="F5" s="5" t="inlineStr">
        <is>
          <t>废柴少年获焚天炉，吞噬修为逆天改命，却不知炉中魔神正借他重生</t>
        </is>
      </c>
    </row>
    <row r="6">
      <c r="A6" s="3" t="inlineStr">
        <is>
          <t>T1.5 定位确认</t>
        </is>
      </c>
      <c r="B6" s="3" t="inlineStr">
        <is>
          <t>题材确认书</t>
        </is>
      </c>
      <c r="C6" s="3" t="inlineStr">
        <is>
          <t>填写：
- 题材类型
- 目标平台
- 目标字数
- 核心读者画像
- 更新计划</t>
        </is>
      </c>
      <c r="D6" s="3" t="inlineStr">
        <is>
          <t>所有项填满，更新计划具体到日</t>
        </is>
      </c>
      <c r="E6" s="3" t="inlineStr">
        <is>
          <t>目标字数模糊：写多少算多少</t>
        </is>
      </c>
      <c r="F6" s="3" t="inlineStr">
        <is>
          <t>目标字数：100万字，日更4000字，预计250天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70AD47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5" customWidth="1" min="3" max="3"/>
    <col width="18" customWidth="1" min="4" max="4"/>
    <col width="15" customWidth="1" min="5" max="5"/>
    <col width="40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T2.1 核心规则</t>
        </is>
      </c>
      <c r="B2" s="3" t="inlineStr">
        <is>
          <t>规则设计表</t>
        </is>
      </c>
      <c r="C2" s="3" t="inlineStr">
        <is>
          <t>1.确定力量来源（灵气/斗气/科技）
2.设计等级体系（名称+条件+能力）
3.设定限制条件（瓶颈/副作用/天劫）
4.量化：每级战力提升比例</t>
        </is>
      </c>
      <c r="D2" s="3" t="inlineStr">
        <is>
          <t>规则可量化，有明确限制</t>
        </is>
      </c>
      <c r="E2" s="3" t="inlineStr">
        <is>
          <t>等级体系太复杂（&gt;20级）</t>
        </is>
      </c>
      <c r="F2" s="3" t="inlineStr">
        <is>
          <t>炼气→筑基→金丹→元婴→化神，每级战力x3</t>
        </is>
      </c>
    </row>
    <row r="3">
      <c r="A3" s="5" t="inlineStr">
        <is>
          <t>T2.2 地理地图</t>
        </is>
      </c>
      <c r="B3" s="5" t="inlineStr">
        <is>
          <t>地理设定表</t>
        </is>
      </c>
      <c r="C3" s="5" t="inlineStr">
        <is>
          <t>1.确定世界规模（大陆/星球/多元宇宙）
2.设计主要地点（&gt;=5个）
3.标注地点功能（修炼圣地/禁地/主城）
4.设计地点间关系</t>
        </is>
      </c>
      <c r="D3" s="5" t="inlineStr">
        <is>
          <t>有文字版地图，地点功能明确</t>
        </is>
      </c>
      <c r="E3" s="5" t="inlineStr">
        <is>
          <t>地点太少，故事展不开</t>
        </is>
      </c>
      <c r="F3" s="5" t="inlineStr">
        <is>
          <t>青云大陆：青云宗（修炼）、黑风谷（禁地）、天元城（交易）...</t>
        </is>
      </c>
    </row>
    <row r="4">
      <c r="A4" s="3" t="inlineStr">
        <is>
          <t>T2.3 势力格局</t>
        </is>
      </c>
      <c r="B4" s="3" t="inlineStr">
        <is>
          <t>势力分布表</t>
        </is>
      </c>
      <c r="C4" s="3" t="inlineStr">
        <is>
          <t>1.列出&gt;=3个主要势力
2.标注：立场（友/敌/中）
3.标注：核心利益
4.设计：势力间冲突根源</t>
        </is>
      </c>
      <c r="D4" s="3" t="inlineStr">
        <is>
          <t>每个势力有明确立场和利益</t>
        </is>
      </c>
      <c r="E4" s="3" t="inlineStr">
        <is>
          <t>势力立场摇摆不定</t>
        </is>
      </c>
      <c r="F4" s="3" t="inlineStr">
        <is>
          <t>青云宗（正，维护秩序）vs 血魔教（邪，颠覆秩序）vs 散修联盟（中，自保）</t>
        </is>
      </c>
    </row>
    <row r="5">
      <c r="A5" s="5" t="inlineStr">
        <is>
          <t>T2.4 历史时间线</t>
        </is>
      </c>
      <c r="B5" s="5" t="inlineStr">
        <is>
          <t>历史年表</t>
        </is>
      </c>
      <c r="C5" s="5" t="inlineStr">
        <is>
          <t>1.确定纪元起点
2.列出&gt;=5个重大历史事件
3.标注：与主线的关联
4.设计：历史遗留问题</t>
        </is>
      </c>
      <c r="D5" s="5" t="inlineStr">
        <is>
          <t>历史事件与主线有关联</t>
        </is>
      </c>
      <c r="E5" s="5" t="inlineStr">
        <is>
          <t>历史与主线脱节</t>
        </is>
      </c>
      <c r="F5" s="5" t="inlineStr">
        <is>
          <t>万年前：仙魔大战→魔神被封印→封印松动（主线触发）</t>
        </is>
      </c>
    </row>
    <row r="6">
      <c r="A6" s="3" t="inlineStr">
        <is>
          <t>T2.5 日常细节</t>
        </is>
      </c>
      <c r="B6" s="3" t="inlineStr">
        <is>
          <t>名词词典</t>
        </is>
      </c>
      <c r="C6" s="3" t="inlineStr">
        <is>
          <t>1.补充日常生活（衣食住行）
2.整理所有专有名词
3.统一名词使用规范
4.建立名词索引</t>
        </is>
      </c>
      <c r="D6" s="3" t="inlineStr">
        <is>
          <t>名词&gt;=20条，日常细节覆盖全面</t>
        </is>
      </c>
      <c r="E6" s="3" t="inlineStr">
        <is>
          <t>名词前后不一致</t>
        </is>
      </c>
      <c r="F6" s="3" t="inlineStr">
        <is>
          <t>焚天炉：上古神器，能吞噬修为，首次出现第1章，关联：魔神、封印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ED7D31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55" customWidth="1" min="3" max="3"/>
    <col width="17" customWidth="1" min="4" max="4"/>
    <col width="14" customWidth="1" min="5" max="5"/>
    <col width="34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T3.1 主角核心</t>
        </is>
      </c>
      <c r="B2" s="3" t="inlineStr">
        <is>
          <t>主角核心卡</t>
        </is>
      </c>
      <c r="C2" s="3" t="inlineStr">
        <is>
          <t>1.姓名/年龄/身份
2.核心目标（想要什么）
3.深层动机（为什么想要）
4.性格缺陷（阻碍目标）</t>
        </is>
      </c>
      <c r="D2" s="3" t="inlineStr">
        <is>
          <t>目标具体可衡量，动机有情感根基</t>
        </is>
      </c>
      <c r="E2" s="3" t="inlineStr">
        <is>
          <t>目标太虚：变强</t>
        </is>
      </c>
      <c r="F2" s="3" t="inlineStr">
        <is>
          <t>核心目标：三年内突破元婴，为父母报仇</t>
        </is>
      </c>
    </row>
    <row r="3">
      <c r="A3" s="5" t="inlineStr">
        <is>
          <t>T3.2 主角弧光</t>
        </is>
      </c>
      <c r="B3" s="5" t="inlineStr">
        <is>
          <t>主角弧光卡</t>
        </is>
      </c>
      <c r="C3" s="5" t="inlineStr">
        <is>
          <t>1.起始状态（天真/懦弱/自私）
2.触发事件（改变起点）
3.转变过程（&gt;=3个阶段）
4.终点状态（成熟/勇敢/无私）</t>
        </is>
      </c>
      <c r="D3" s="5" t="inlineStr">
        <is>
          <t>弧光有明确起点终点，转变合理</t>
        </is>
      </c>
      <c r="E3" s="5" t="inlineStr">
        <is>
          <t>转变太突兀</t>
        </is>
      </c>
      <c r="F3" s="5" t="inlineStr">
        <is>
          <t>起始：懦弱怕事→触发：宗门被灭→转变：复仇驱动→终点：为苍生而战</t>
        </is>
      </c>
    </row>
    <row r="4">
      <c r="A4" s="3" t="inlineStr">
        <is>
          <t>T3.3 反派设计</t>
        </is>
      </c>
      <c r="B4" s="3" t="inlineStr">
        <is>
          <t>反派设定卡</t>
        </is>
      </c>
      <c r="C4" s="3" t="inlineStr">
        <is>
          <t>1.姓名/身份/能力
2.动机（非纯恶，有理由）
3.与主角的镜像关系
4.弱点（可被主角利用）</t>
        </is>
      </c>
      <c r="D4" s="3" t="inlineStr">
        <is>
          <t>反派动机合理，与主角有联系</t>
        </is>
      </c>
      <c r="E4" s="3" t="inlineStr">
        <is>
          <t>反派纯恶，没有深度</t>
        </is>
      </c>
      <c r="F4" s="3" t="inlineStr">
        <is>
          <t>反派：主角的师兄，因嫉妒而堕落，同样拥有焚天炉碎片</t>
        </is>
      </c>
    </row>
    <row r="5">
      <c r="A5" s="5" t="inlineStr">
        <is>
          <t>T3.4 导师盟友</t>
        </is>
      </c>
      <c r="B5" s="5" t="inlineStr">
        <is>
          <t>盟友设定卡</t>
        </is>
      </c>
      <c r="C5" s="5" t="inlineStr">
        <is>
          <t>1.导师：传授技能/智慧
2.盟友A：陪伴成长
3.盟友B：提供资源
4.检查：功能不重复</t>
        </is>
      </c>
      <c r="D5" s="5" t="inlineStr">
        <is>
          <t>每个盟友有独立功能</t>
        </is>
      </c>
      <c r="E5" s="5" t="inlineStr">
        <is>
          <t>盟友功能重复（都是打手）</t>
        </is>
      </c>
      <c r="F5" s="5" t="inlineStr">
        <is>
          <t>导师：传功法；盟友A：提供情报；盟友B：并肩作战</t>
        </is>
      </c>
    </row>
    <row r="6">
      <c r="A6" s="3" t="inlineStr">
        <is>
          <t>T3.5 群像平衡</t>
        </is>
      </c>
      <c r="B6" s="3" t="inlineStr">
        <is>
          <t>角色关系网</t>
        </is>
      </c>
      <c r="C6" s="3" t="inlineStr">
        <is>
          <t>1.列出所有角色
2.标注：功能标签
3.检查：功能是否重复
4.计算：主角戏份占比</t>
        </is>
      </c>
      <c r="D6" s="3" t="inlineStr">
        <is>
          <t>无重复功能，主角戏份&gt;=60%</t>
        </is>
      </c>
      <c r="E6" s="3" t="inlineStr">
        <is>
          <t>配角抢戏</t>
        </is>
      </c>
      <c r="F6" s="3" t="inlineStr">
        <is>
          <t>主角戏份65%，反派15%，导师10%，盟友各5%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7030A0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55" customWidth="1" min="3" max="3"/>
    <col width="15" customWidth="1" min="4" max="4"/>
    <col width="14" customWidth="1" min="5" max="5"/>
    <col width="53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T4.1 全书骨架</t>
        </is>
      </c>
      <c r="B2" s="3" t="inlineStr">
        <is>
          <t>骨架图模板</t>
        </is>
      </c>
      <c r="C2" s="3" t="inlineStr">
        <is>
          <t>1.确定起承转合四段
2.每段标注：核心事件
3.标注：全书高潮位置（70-80%）
4.检查：四段比例</t>
        </is>
      </c>
      <c r="D2" s="3" t="inlineStr">
        <is>
          <t>骨架完整，高潮位置合理</t>
        </is>
      </c>
      <c r="E2" s="3" t="inlineStr">
        <is>
          <t>高潮太早或太晚</t>
        </is>
      </c>
      <c r="F2" s="3" t="inlineStr">
        <is>
          <t>起（0-20%）：获炉→承（20-50%）：成长→转（50-70%）：危机→合（70-100%）：决战</t>
        </is>
      </c>
    </row>
    <row r="3">
      <c r="A3" s="5" t="inlineStr">
        <is>
          <t>T4.2 卷规划</t>
        </is>
      </c>
      <c r="B3" s="5" t="inlineStr">
        <is>
          <t>卷规划表</t>
        </is>
      </c>
      <c r="C3" s="5" t="inlineStr">
        <is>
          <t>1.全书分3-5卷
2.每卷：独立高潮
3.每卷：与下卷的过渡钩子
4.标注：每卷字数</t>
        </is>
      </c>
      <c r="D3" s="5" t="inlineStr">
        <is>
          <t>每卷有独立高潮，卷间有过渡</t>
        </is>
      </c>
      <c r="E3" s="5" t="inlineStr">
        <is>
          <t>卷与卷之间断层</t>
        </is>
      </c>
      <c r="F3" s="5" t="inlineStr">
        <is>
          <t>卷1：入门（20万字）→卷2：崛起（30万字）→卷3：巅峰（50万字）</t>
        </is>
      </c>
    </row>
    <row r="4">
      <c r="A4" s="3" t="inlineStr">
        <is>
          <t>T4.3 章规划</t>
        </is>
      </c>
      <c r="B4" s="3" t="inlineStr">
        <is>
          <t>章规划表</t>
        </is>
      </c>
      <c r="C4" s="3" t="inlineStr">
        <is>
          <t>1.每卷拆为章
2.每章标注：类型（日常/冲突/转折/高潮/过渡）
3.标注：爽点标签
4.计算：爽点间距</t>
        </is>
      </c>
      <c r="D4" s="3" t="inlineStr">
        <is>
          <t>爽点间距&lt;=5章</t>
        </is>
      </c>
      <c r="E4" s="3" t="inlineStr">
        <is>
          <t>前10章全是日常</t>
        </is>
      </c>
      <c r="F4" s="3" t="inlineStr">
        <is>
          <t>章1：获炉[爽]→章2：修炼→章3：冲突[爽]→章4-5：过渡→章6：突破[爽]</t>
        </is>
      </c>
    </row>
    <row r="5">
      <c r="A5" s="5" t="inlineStr">
        <is>
          <t>T4.4 节奏校准</t>
        </is>
      </c>
      <c r="B5" s="5" t="inlineStr">
        <is>
          <t>节奏检查表</t>
        </is>
      </c>
      <c r="C5" s="5" t="inlineStr">
        <is>
          <t>1.每10章为一组
2.检查：每组至少1个爽点
3.检查：情绪是否有起伏
4.标红：连续无爽点区间</t>
        </is>
      </c>
      <c r="D5" s="5" t="inlineStr">
        <is>
          <t>无连续10章无爽点</t>
        </is>
      </c>
      <c r="E5" s="5" t="inlineStr">
        <is>
          <t>忽视节奏检查</t>
        </is>
      </c>
      <c r="F5" s="5" t="inlineStr">
        <is>
          <t>第11-20章：3个爽点→合格；第21-30章：0个爽点→标红修改</t>
        </is>
      </c>
    </row>
    <row r="6">
      <c r="A6" s="3" t="inlineStr">
        <is>
          <t>T4.5 伏笔闭环</t>
        </is>
      </c>
      <c r="B6" s="3" t="inlineStr">
        <is>
          <t>伏笔规划表</t>
        </is>
      </c>
      <c r="C6" s="3" t="inlineStr">
        <is>
          <t>1.列出所有伏笔
2.标注：埋设章
3.标注：回收章
4.检查：是否有未回收</t>
        </is>
      </c>
      <c r="D6" s="3" t="inlineStr">
        <is>
          <t>所有伏笔有埋有收</t>
        </is>
      </c>
      <c r="E6" s="3" t="inlineStr">
        <is>
          <t>埋了不回收，或回收太突兀</t>
        </is>
      </c>
      <c r="F6" s="3" t="inlineStr">
        <is>
          <t>伏笔A：炉中魔声（第1章埋→第50章回收）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00C00000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55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T5.1 场景清单</t>
        </is>
      </c>
      <c r="B2" s="3" t="inlineStr">
        <is>
          <t>场景清单表</t>
        </is>
      </c>
      <c r="C2" s="3" t="inlineStr">
        <is>
          <t>1.每章拆为&gt;=2个场景
2.标注：地点
3.标注：出场角色
4.标注：场景功能（推进/揭示/冲突）</t>
        </is>
      </c>
      <c r="D2" s="3" t="inlineStr">
        <is>
          <t>每章&gt;=2场景，功能明确</t>
        </is>
      </c>
      <c r="E2" s="3" t="inlineStr">
        <is>
          <t>一章只有一个大场景</t>
        </is>
      </c>
      <c r="F2" s="3" t="inlineStr">
        <is>
          <t>章1：场景1（山洞，主角，获炉[推进]）→场景2（宗门，长老，质疑[冲突]）</t>
        </is>
      </c>
    </row>
    <row r="3">
      <c r="A3" s="5" t="inlineStr">
        <is>
          <t>T5.2 动作链</t>
        </is>
      </c>
      <c r="B3" s="5" t="inlineStr">
        <is>
          <t>动作链表</t>
        </is>
      </c>
      <c r="C3" s="5" t="inlineStr">
        <is>
          <t>1.每个场景设计动作序列
2.动作1→导致→动作2→导致→动作3
3.检查：因果关系</t>
        </is>
      </c>
      <c r="D3" s="5" t="inlineStr">
        <is>
          <t>每场景&gt;=3个连续动作</t>
        </is>
      </c>
      <c r="E3" s="5" t="inlineStr">
        <is>
          <t>动作之间无因果</t>
        </is>
      </c>
      <c r="F3" s="5" t="inlineStr">
        <is>
          <t>主角发现炉子→炉子发出光芒→光芒引来妖兽→主角被迫战斗</t>
        </is>
      </c>
    </row>
    <row r="4">
      <c r="A4" s="3" t="inlineStr">
        <is>
          <t>T5.3 冲突升级</t>
        </is>
      </c>
      <c r="B4" s="3" t="inlineStr">
        <is>
          <t>冲突升级表</t>
        </is>
      </c>
      <c r="C4" s="3" t="inlineStr">
        <is>
          <t>1.列出每章冲突点
2.标注：冲突强度（1-10）
3.检查：是否逐章递增
4.补：不足的冲突</t>
        </is>
      </c>
      <c r="D4" s="3" t="inlineStr">
        <is>
          <t>冲突强度逐章递增</t>
        </is>
      </c>
      <c r="E4" s="3" t="inlineStr">
        <is>
          <t>冲突强度忽高忽低</t>
        </is>
      </c>
      <c r="F4" s="3" t="inlineStr">
        <is>
          <t>章1：冲突强度3（被嘲笑）→章5：冲突强度6（被追杀）→章10：冲突强度9（生死战）</t>
        </is>
      </c>
    </row>
    <row r="5">
      <c r="A5" s="5" t="inlineStr">
        <is>
          <t>T5.4 钩子布置</t>
        </is>
      </c>
      <c r="B5" s="5" t="inlineStr">
        <is>
          <t>钩子清单</t>
        </is>
      </c>
      <c r="C5" s="5" t="inlineStr">
        <is>
          <t>1.每章标注：开篇钩子
2.标注：章内钩子
3.标注：收尾钩子
4.检查：收尾是否引出下章</t>
        </is>
      </c>
      <c r="D5" s="5" t="inlineStr">
        <is>
          <t>每章&gt;=2钩子，收尾引出下章</t>
        </is>
      </c>
      <c r="E5" s="5" t="inlineStr">
        <is>
          <t>章末没有钩子</t>
        </is>
      </c>
      <c r="F5" s="5" t="inlineStr">
        <is>
          <t>开篇：主角被追杀（危机钩）→收尾：发现追杀者是亲哥哥（反转钩）</t>
        </is>
      </c>
    </row>
    <row r="6">
      <c r="A6" s="3" t="inlineStr">
        <is>
          <t>T5.5 情感校准</t>
        </is>
      </c>
      <c r="B6" s="3" t="inlineStr">
        <is>
          <t>情感曲线数据</t>
        </is>
      </c>
      <c r="C6" s="3" t="inlineStr">
        <is>
          <t>1.标注每章读者情感
2.数值化：压抑/期待/爽/紧张/感动
3.检查：连续5章是否同情绪
4.调整：单调区间</t>
        </is>
      </c>
      <c r="D6" s="3" t="inlineStr">
        <is>
          <t>情感曲线有起伏</t>
        </is>
      </c>
      <c r="E6" s="3" t="inlineStr">
        <is>
          <t>连续10章都是爽（审美疲劳）</t>
        </is>
      </c>
      <c r="F6" s="3" t="inlineStr">
        <is>
          <t>章1：压抑3→章2：期待5→章3：爽8→章4：紧张6→章5：感动7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0000B0F0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55" customWidth="1" min="3" max="3"/>
    <col width="19" customWidth="1" min="4" max="4"/>
    <col width="17" customWidth="1" min="5" max="5"/>
    <col width="55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T6.1 开篇打磨</t>
        </is>
      </c>
      <c r="B2" s="3" t="inlineStr">
        <is>
          <t>开篇检查清单</t>
        </is>
      </c>
      <c r="C2" s="3" t="inlineStr">
        <is>
          <t>1.第1句：主角出场
2.第1段：核心冲突暗示
3.300字内：阅读钩子
4.第1章末：引出第2章</t>
        </is>
      </c>
      <c r="D2" s="3" t="inlineStr">
        <is>
          <t>300字内：主角+冲突+钩子</t>
        </is>
      </c>
      <c r="E2" s="3" t="inlineStr">
        <is>
          <t>开篇大段环境描写</t>
        </is>
      </c>
      <c r="F2" s="3" t="inlineStr">
        <is>
          <t>"林渊睁开眼时，发现自己躺在血泊中。三天前，他还是青云宗的天才弟子；现在，他是全宗通缉的叛徒。"（主角+冲突，50字）</t>
        </is>
      </c>
    </row>
    <row r="3">
      <c r="A3" s="5" t="inlineStr">
        <is>
          <t>T6.2 五感切入</t>
        </is>
      </c>
      <c r="B3" s="5" t="inlineStr">
        <is>
          <t>五感检查表</t>
        </is>
      </c>
      <c r="C3" s="5" t="inlineStr">
        <is>
          <t>1.每个场景开头选1个主导感官
2.补充&gt;=2个次要感官
3.避免：视觉独占</t>
        </is>
      </c>
      <c r="D3" s="5" t="inlineStr">
        <is>
          <t>关键场景&gt;=3种感官</t>
        </is>
      </c>
      <c r="E3" s="5" t="inlineStr">
        <is>
          <t>全是视觉描写</t>
        </is>
      </c>
      <c r="F3" s="5" t="inlineStr">
        <is>
          <t>"血腥味灌入鼻腔（嗅），耳边是追兵的呼喝（听），脚下的碎石硌得生疼（触）"</t>
        </is>
      </c>
    </row>
    <row r="4">
      <c r="A4" s="3" t="inlineStr">
        <is>
          <t>T6.3 对话设计</t>
        </is>
      </c>
      <c r="B4" s="3" t="inlineStr">
        <is>
          <t>对话检查表</t>
        </is>
      </c>
      <c r="C4" s="3" t="inlineStr">
        <is>
          <t>1.每句对话标注目的
2.目的：推进/揭示/冲突/塑造
3.删除：无目的对话
4.检查：信息密度</t>
        </is>
      </c>
      <c r="D4" s="3" t="inlineStr">
        <is>
          <t>无废话对话</t>
        </is>
      </c>
      <c r="E4" s="3" t="inlineStr">
        <is>
          <t>"你吃了吗？""今天天气不错"</t>
        </is>
      </c>
      <c r="F4" s="3" t="inlineStr">
        <is>
          <t>"你为什么要背叛宗门？""因为我发现，宗主才是灭我林家的真凶。"（揭示+冲突）</t>
        </is>
      </c>
    </row>
    <row r="5">
      <c r="A5" s="5" t="inlineStr">
        <is>
          <t>T6.4 高潮写作</t>
        </is>
      </c>
      <c r="B5" s="5" t="inlineStr">
        <is>
          <t>高潮检查清单</t>
        </is>
      </c>
      <c r="C5" s="5" t="inlineStr">
        <is>
          <t>1.&gt;=2重冲突叠加
2.主角处于极限状态
3.情感爆发点
4.转折/反转为高潮加码</t>
        </is>
      </c>
      <c r="D5" s="5" t="inlineStr">
        <is>
          <t>高潮有&gt;=2重冲突，读者情绪被调动</t>
        </is>
      </c>
      <c r="E5" s="5" t="inlineStr">
        <is>
          <t>高潮只有打斗，没有情感</t>
        </is>
      </c>
      <c r="F5" s="5" t="inlineStr">
        <is>
          <t>主角vs反派（武力冲突）+ 主角发现反派是亲哥哥（情感冲突）+ 焚天炉暴走（环境冲突）</t>
        </is>
      </c>
    </row>
    <row r="6">
      <c r="A6" s="3" t="inlineStr">
        <is>
          <t>T6.5 收尾钩子</t>
        </is>
      </c>
      <c r="B6" s="3" t="inlineStr">
        <is>
          <t>钩子设计模板</t>
        </is>
      </c>
      <c r="C6" s="3" t="inlineStr">
        <is>
          <t>1.确定钩子类型：悬念/危机/反转/期待
2.设计：最后一句话/最后一个场景
3.检查：是否让读者想点开下一章
4.避免：圆满收尾（除非全书完）</t>
        </is>
      </c>
      <c r="D6" s="3" t="inlineStr">
        <is>
          <t>每章结尾有明确钩子</t>
        </is>
      </c>
      <c r="E6" s="3" t="inlineStr">
        <is>
          <t>章末主角睡觉，无事发生</t>
        </is>
      </c>
      <c r="F6" s="3" t="inlineStr">
        <is>
          <t>"林渊握紧炉柄，嘴角渗出血丝。他抬头看向夜空中的血月——那是魔神降临的征兆，而距离血月当空，只剩三天。"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007F7F7F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55" customWidth="1" min="3" max="3"/>
    <col width="14" customWidth="1" min="4" max="4"/>
    <col width="12" customWidth="1" min="5" max="5"/>
    <col width="28" customWidth="1" min="6" max="6"/>
  </cols>
  <sheetData>
    <row r="1">
      <c r="A1" s="1" t="inlineStr">
        <is>
          <t>任务</t>
        </is>
      </c>
      <c r="B1" s="1" t="inlineStr">
        <is>
          <t>工具/模板</t>
        </is>
      </c>
      <c r="C1" s="1" t="inlineStr">
        <is>
          <t>操作步骤</t>
        </is>
      </c>
      <c r="D1" s="1" t="inlineStr">
        <is>
          <t>判断标准</t>
        </is>
      </c>
      <c r="E1" s="1" t="inlineStr">
        <is>
          <t>常见错误</t>
        </is>
      </c>
      <c r="F1" s="1" t="inlineStr">
        <is>
          <t>示例</t>
        </is>
      </c>
    </row>
    <row r="2">
      <c r="A2" s="3" t="inlineStr">
        <is>
          <t>T7.1 结构修订</t>
        </is>
      </c>
      <c r="B2" s="3" t="inlineStr">
        <is>
          <t>结构检查清单</t>
        </is>
      </c>
      <c r="C2" s="3" t="inlineStr">
        <is>
          <t>1.检查：起承转合是否完整
2.删除：与主线无关的章节
3.补充：缺失的过渡
4.调整：章节顺序</t>
        </is>
      </c>
      <c r="D2" s="3" t="inlineStr">
        <is>
          <t>结构完整，无逻辑断层</t>
        </is>
      </c>
      <c r="E2" s="3" t="inlineStr">
        <is>
          <t>舍不得删冗余章</t>
        </is>
      </c>
      <c r="F2" s="3" t="inlineStr">
        <is>
          <t>删除：主角逛街买衣服的3章（与主线无关）</t>
        </is>
      </c>
    </row>
    <row r="3">
      <c r="A3" s="5" t="inlineStr">
        <is>
          <t>T7.2 节奏修订</t>
        </is>
      </c>
      <c r="B3" s="5" t="inlineStr">
        <is>
          <t>节奏检查清单</t>
        </is>
      </c>
      <c r="C3" s="5" t="inlineStr">
        <is>
          <t>1.检查：每10章爽点数量
2.删除：慢热段落
3.补充：爽点不足的区间
4.调整：情绪曲线</t>
        </is>
      </c>
      <c r="D3" s="5" t="inlineStr">
        <is>
          <t>无连续3章无爽点</t>
        </is>
      </c>
      <c r="E3" s="5" t="inlineStr">
        <is>
          <t>只修错别字，不修节奏</t>
        </is>
      </c>
      <c r="F3" s="5" t="inlineStr">
        <is>
          <t>在第15-17章（连续日常）插入一个小冲突</t>
        </is>
      </c>
    </row>
    <row r="4">
      <c r="A4" s="3" t="inlineStr">
        <is>
          <t>T7.3 细节修订</t>
        </is>
      </c>
      <c r="B4" s="3" t="inlineStr">
        <is>
          <t>细节检查清单</t>
        </is>
      </c>
      <c r="C4" s="3" t="inlineStr">
        <is>
          <t>1.检查：世界观BUG
2.检查：伏笔回收
3.统一：名词使用
4.补充：关键场景描写</t>
        </is>
      </c>
      <c r="D4" s="3" t="inlineStr">
        <is>
          <t>世界观无矛盾，伏笔全回收</t>
        </is>
      </c>
      <c r="E4" s="3" t="inlineStr">
        <is>
          <t>发现BUG但懒得改</t>
        </is>
      </c>
      <c r="F4" s="3" t="inlineStr">
        <is>
          <t>第1章说炉子有3片碎片，第50章说4片→修正为4片</t>
        </is>
      </c>
    </row>
    <row r="5">
      <c r="A5" s="5" t="inlineStr">
        <is>
          <t>T7.4 润色统一</t>
        </is>
      </c>
      <c r="B5" s="5" t="inlineStr">
        <is>
          <t>润色检查清单</t>
        </is>
      </c>
      <c r="C5" s="5" t="inlineStr">
        <is>
          <t>1.统一：文风（古风/现代/白话）
2.精简：冗余句
3.优化：长句拆分
4.检查：标点规范</t>
        </is>
      </c>
      <c r="D5" s="5" t="inlineStr">
        <is>
          <t>文风统一，无冗余</t>
        </is>
      </c>
      <c r="E5" s="5" t="inlineStr">
        <is>
          <t>前半古文后半白话</t>
        </is>
      </c>
      <c r="F5" s="5" t="inlineStr">
        <is>
          <t>"他此时此刻的心情非常非常的不好"→"他心情糟透了"</t>
        </is>
      </c>
    </row>
    <row r="6">
      <c r="A6" s="3" t="inlineStr">
        <is>
          <t>T7.5 发布检查</t>
        </is>
      </c>
      <c r="B6" s="3" t="inlineStr">
        <is>
          <t>10项发布清单</t>
        </is>
      </c>
      <c r="C6" s="3" t="inlineStr">
        <is>
          <t>1.结构完整性
2.节奏流畅度
3.角色一致性
4.世界观一致性
5.伏笔回收率
6.对话质量
7.描写质量
8.错别字
9.标点规范
10.排版格式</t>
        </is>
      </c>
      <c r="D6" s="3" t="inlineStr">
        <is>
          <t>10项全部通过</t>
        </is>
      </c>
      <c r="E6" s="3" t="inlineStr">
        <is>
          <t>漏检查直接发布</t>
        </is>
      </c>
      <c r="F6" s="3" t="inlineStr">
        <is>
          <t>第8项发现3个错别字→修正后通过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00000000"/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8" customWidth="1" min="5" max="5"/>
    <col width="30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日期</t>
        </is>
      </c>
      <c r="B1" s="1" t="inlineStr">
        <is>
          <t>第几天</t>
        </is>
      </c>
      <c r="C1" s="1" t="inlineStr">
        <is>
          <t>完成任务</t>
        </is>
      </c>
      <c r="D1" s="1" t="inlineStr">
        <is>
          <t>所属阶段</t>
        </is>
      </c>
      <c r="E1" s="1" t="inlineStr">
        <is>
          <t>用时(分钟)</t>
        </is>
      </c>
      <c r="F1" s="1" t="inlineStr">
        <is>
          <t>累计用时(小时)</t>
        </is>
      </c>
      <c r="G1" s="1" t="inlineStr">
        <is>
          <t>遇到问题</t>
        </is>
      </c>
      <c r="H1" s="1" t="inlineStr">
        <is>
          <t>解决方法</t>
        </is>
      </c>
      <c r="I1" s="1" t="inlineStr">
        <is>
          <t>明日计划</t>
        </is>
      </c>
      <c r="J1" s="1" t="inlineStr">
        <is>
          <t>心情/状态</t>
        </is>
      </c>
    </row>
    <row r="2">
      <c r="A2" s="3" t="n"/>
      <c r="B2" s="3">
        <f>IF(A2&gt;0,A2-A$2+1,"")</f>
        <v/>
      </c>
      <c r="C2" s="3" t="n"/>
      <c r="D2" s="3" t="n"/>
      <c r="E2" s="3" t="n"/>
      <c r="F2" s="3">
        <f>IF(E2&gt;0,SUM(E$2:E2)/60,0)</f>
        <v/>
      </c>
      <c r="G2" s="3" t="n"/>
      <c r="H2" s="3" t="n"/>
      <c r="I2" s="3" t="n"/>
      <c r="J2" s="3" t="n"/>
    </row>
    <row r="3">
      <c r="A3" s="5" t="n"/>
      <c r="B3" s="5">
        <f>IF(A3&gt;0,A3-A$2+1,"")</f>
        <v/>
      </c>
      <c r="C3" s="5" t="n"/>
      <c r="D3" s="5" t="n"/>
      <c r="E3" s="5" t="n"/>
      <c r="F3" s="5">
        <f>IF(E3&gt;0,SUM(E$2:E3)/60,0)</f>
        <v/>
      </c>
      <c r="G3" s="5" t="n"/>
      <c r="H3" s="5" t="n"/>
      <c r="I3" s="5" t="n"/>
      <c r="J3" s="5" t="n"/>
    </row>
    <row r="4">
      <c r="A4" s="3" t="n"/>
      <c r="B4" s="3">
        <f>IF(A4&gt;0,A4-A$2+1,"")</f>
        <v/>
      </c>
      <c r="C4" s="3" t="n"/>
      <c r="D4" s="3" t="n"/>
      <c r="E4" s="3" t="n"/>
      <c r="F4" s="3">
        <f>IF(E4&gt;0,SUM(E$2:E4)/60,0)</f>
        <v/>
      </c>
      <c r="G4" s="3" t="n"/>
      <c r="H4" s="3" t="n"/>
      <c r="I4" s="3" t="n"/>
      <c r="J4" s="3" t="n"/>
    </row>
    <row r="5">
      <c r="A5" s="5" t="n"/>
      <c r="B5" s="5">
        <f>IF(A5&gt;0,A5-A$2+1,"")</f>
        <v/>
      </c>
      <c r="C5" s="5" t="n"/>
      <c r="D5" s="5" t="n"/>
      <c r="E5" s="5" t="n"/>
      <c r="F5" s="5">
        <f>IF(E5&gt;0,SUM(E$2:E5)/60,0)</f>
        <v/>
      </c>
      <c r="G5" s="5" t="n"/>
      <c r="H5" s="5" t="n"/>
      <c r="I5" s="5" t="n"/>
      <c r="J5" s="5" t="n"/>
    </row>
    <row r="6">
      <c r="A6" s="3" t="n"/>
      <c r="B6" s="3">
        <f>IF(A6&gt;0,A6-A$2+1,"")</f>
        <v/>
      </c>
      <c r="C6" s="3" t="n"/>
      <c r="D6" s="3" t="n"/>
      <c r="E6" s="3" t="n"/>
      <c r="F6" s="3">
        <f>IF(E6&gt;0,SUM(E$2:E6)/60,0)</f>
        <v/>
      </c>
      <c r="G6" s="3" t="n"/>
      <c r="H6" s="3" t="n"/>
      <c r="I6" s="3" t="n"/>
      <c r="J6" s="3" t="n"/>
    </row>
    <row r="7">
      <c r="A7" s="5" t="n"/>
      <c r="B7" s="5">
        <f>IF(A7&gt;0,A7-A$2+1,"")</f>
        <v/>
      </c>
      <c r="C7" s="5" t="n"/>
      <c r="D7" s="5" t="n"/>
      <c r="E7" s="5" t="n"/>
      <c r="F7" s="5">
        <f>IF(E7&gt;0,SUM(E$2:E7)/60,0)</f>
        <v/>
      </c>
      <c r="G7" s="5" t="n"/>
      <c r="H7" s="5" t="n"/>
      <c r="I7" s="5" t="n"/>
      <c r="J7" s="5" t="n"/>
    </row>
    <row r="8">
      <c r="A8" s="3" t="n"/>
      <c r="B8" s="3">
        <f>IF(A8&gt;0,A8-A$2+1,"")</f>
        <v/>
      </c>
      <c r="C8" s="3" t="n"/>
      <c r="D8" s="3" t="n"/>
      <c r="E8" s="3" t="n"/>
      <c r="F8" s="3">
        <f>IF(E8&gt;0,SUM(E$2:E8)/60,0)</f>
        <v/>
      </c>
      <c r="G8" s="3" t="n"/>
      <c r="H8" s="3" t="n"/>
      <c r="I8" s="3" t="n"/>
      <c r="J8" s="3" t="n"/>
    </row>
    <row r="9">
      <c r="A9" s="5" t="n"/>
      <c r="B9" s="5">
        <f>IF(A9&gt;0,A9-A$2+1,"")</f>
        <v/>
      </c>
      <c r="C9" s="5" t="n"/>
      <c r="D9" s="5" t="n"/>
      <c r="E9" s="5" t="n"/>
      <c r="F9" s="5">
        <f>IF(E9&gt;0,SUM(E$2:E9)/60,0)</f>
        <v/>
      </c>
      <c r="G9" s="5" t="n"/>
      <c r="H9" s="5" t="n"/>
      <c r="I9" s="5" t="n"/>
      <c r="J9" s="5" t="n"/>
    </row>
    <row r="10">
      <c r="A10" s="3" t="n"/>
      <c r="B10" s="3">
        <f>IF(A10&gt;0,A10-A$2+1,"")</f>
        <v/>
      </c>
      <c r="C10" s="3" t="n"/>
      <c r="D10" s="3" t="n"/>
      <c r="E10" s="3" t="n"/>
      <c r="F10" s="3">
        <f>IF(E10&gt;0,SUM(E$2:E10)/60,0)</f>
        <v/>
      </c>
      <c r="G10" s="3" t="n"/>
      <c r="H10" s="3" t="n"/>
      <c r="I10" s="3" t="n"/>
      <c r="J10" s="3" t="n"/>
    </row>
    <row r="11">
      <c r="A11" s="5" t="n"/>
      <c r="B11" s="5">
        <f>IF(A11&gt;0,A11-A$2+1,"")</f>
        <v/>
      </c>
      <c r="C11" s="5" t="n"/>
      <c r="D11" s="5" t="n"/>
      <c r="E11" s="5" t="n"/>
      <c r="F11" s="5">
        <f>IF(E11&gt;0,SUM(E$2:E11)/60,0)</f>
        <v/>
      </c>
      <c r="G11" s="5" t="n"/>
      <c r="H11" s="5" t="n"/>
      <c r="I11" s="5" t="n"/>
      <c r="J11" s="5" t="n"/>
    </row>
    <row r="12">
      <c r="A12" s="3" t="n"/>
      <c r="B12" s="3">
        <f>IF(A12&gt;0,A12-A$2+1,"")</f>
        <v/>
      </c>
      <c r="C12" s="3" t="n"/>
      <c r="D12" s="3" t="n"/>
      <c r="E12" s="3" t="n"/>
      <c r="F12" s="3">
        <f>IF(E12&gt;0,SUM(E$2:E12)/60,0)</f>
        <v/>
      </c>
      <c r="G12" s="3" t="n"/>
      <c r="H12" s="3" t="n"/>
      <c r="I12" s="3" t="n"/>
      <c r="J12" s="3" t="n"/>
    </row>
    <row r="13">
      <c r="A13" s="5" t="n"/>
      <c r="B13" s="5">
        <f>IF(A13&gt;0,A13-A$2+1,"")</f>
        <v/>
      </c>
      <c r="C13" s="5" t="n"/>
      <c r="D13" s="5" t="n"/>
      <c r="E13" s="5" t="n"/>
      <c r="F13" s="5">
        <f>IF(E13&gt;0,SUM(E$2:E13)/60,0)</f>
        <v/>
      </c>
      <c r="G13" s="5" t="n"/>
      <c r="H13" s="5" t="n"/>
      <c r="I13" s="5" t="n"/>
      <c r="J13" s="5" t="n"/>
    </row>
    <row r="14">
      <c r="A14" s="3" t="n"/>
      <c r="B14" s="3">
        <f>IF(A14&gt;0,A14-A$2+1,"")</f>
        <v/>
      </c>
      <c r="C14" s="3" t="n"/>
      <c r="D14" s="3" t="n"/>
      <c r="E14" s="3" t="n"/>
      <c r="F14" s="3">
        <f>IF(E14&gt;0,SUM(E$2:E14)/60,0)</f>
        <v/>
      </c>
      <c r="G14" s="3" t="n"/>
      <c r="H14" s="3" t="n"/>
      <c r="I14" s="3" t="n"/>
      <c r="J14" s="3" t="n"/>
    </row>
    <row r="15">
      <c r="A15" s="5" t="n"/>
      <c r="B15" s="5">
        <f>IF(A15&gt;0,A15-A$2+1,"")</f>
        <v/>
      </c>
      <c r="C15" s="5" t="n"/>
      <c r="D15" s="5" t="n"/>
      <c r="E15" s="5" t="n"/>
      <c r="F15" s="5">
        <f>IF(E15&gt;0,SUM(E$2:E15)/60,0)</f>
        <v/>
      </c>
      <c r="G15" s="5" t="n"/>
      <c r="H15" s="5" t="n"/>
      <c r="I15" s="5" t="n"/>
      <c r="J15" s="5" t="n"/>
    </row>
    <row r="16">
      <c r="A16" s="3" t="n"/>
      <c r="B16" s="3">
        <f>IF(A16&gt;0,A16-A$2+1,"")</f>
        <v/>
      </c>
      <c r="C16" s="3" t="n"/>
      <c r="D16" s="3" t="n"/>
      <c r="E16" s="3" t="n"/>
      <c r="F16" s="3">
        <f>IF(E16&gt;0,SUM(E$2:E16)/60,0)</f>
        <v/>
      </c>
      <c r="G16" s="3" t="n"/>
      <c r="H16" s="3" t="n"/>
      <c r="I16" s="3" t="n"/>
      <c r="J16" s="3" t="n"/>
    </row>
    <row r="17">
      <c r="A17" s="5" t="n"/>
      <c r="B17" s="5">
        <f>IF(A17&gt;0,A17-A$2+1,"")</f>
        <v/>
      </c>
      <c r="C17" s="5" t="n"/>
      <c r="D17" s="5" t="n"/>
      <c r="E17" s="5" t="n"/>
      <c r="F17" s="5">
        <f>IF(E17&gt;0,SUM(E$2:E17)/60,0)</f>
        <v/>
      </c>
      <c r="G17" s="5" t="n"/>
      <c r="H17" s="5" t="n"/>
      <c r="I17" s="5" t="n"/>
      <c r="J17" s="5" t="n"/>
    </row>
    <row r="18">
      <c r="A18" s="3" t="n"/>
      <c r="B18" s="3">
        <f>IF(A18&gt;0,A18-A$2+1,"")</f>
        <v/>
      </c>
      <c r="C18" s="3" t="n"/>
      <c r="D18" s="3" t="n"/>
      <c r="E18" s="3" t="n"/>
      <c r="F18" s="3">
        <f>IF(E18&gt;0,SUM(E$2:E18)/60,0)</f>
        <v/>
      </c>
      <c r="G18" s="3" t="n"/>
      <c r="H18" s="3" t="n"/>
      <c r="I18" s="3" t="n"/>
      <c r="J18" s="3" t="n"/>
    </row>
    <row r="19">
      <c r="A19" s="5" t="n"/>
      <c r="B19" s="5">
        <f>IF(A19&gt;0,A19-A$2+1,"")</f>
        <v/>
      </c>
      <c r="C19" s="5" t="n"/>
      <c r="D19" s="5" t="n"/>
      <c r="E19" s="5" t="n"/>
      <c r="F19" s="5">
        <f>IF(E19&gt;0,SUM(E$2:E19)/60,0)</f>
        <v/>
      </c>
      <c r="G19" s="5" t="n"/>
      <c r="H19" s="5" t="n"/>
      <c r="I19" s="5" t="n"/>
      <c r="J19" s="5" t="n"/>
    </row>
    <row r="20">
      <c r="A20" s="3" t="n"/>
      <c r="B20" s="3">
        <f>IF(A20&gt;0,A20-A$2+1,"")</f>
        <v/>
      </c>
      <c r="C20" s="3" t="n"/>
      <c r="D20" s="3" t="n"/>
      <c r="E20" s="3" t="n"/>
      <c r="F20" s="3">
        <f>IF(E20&gt;0,SUM(E$2:E20)/60,0)</f>
        <v/>
      </c>
      <c r="G20" s="3" t="n"/>
      <c r="H20" s="3" t="n"/>
      <c r="I20" s="3" t="n"/>
      <c r="J20" s="3" t="n"/>
    </row>
    <row r="21">
      <c r="A21" s="5" t="n"/>
      <c r="B21" s="5">
        <f>IF(A21&gt;0,A21-A$2+1,"")</f>
        <v/>
      </c>
      <c r="C21" s="5" t="n"/>
      <c r="D21" s="5" t="n"/>
      <c r="E21" s="5" t="n"/>
      <c r="F21" s="5">
        <f>IF(E21&gt;0,SUM(E$2:E21)/60,0)</f>
        <v/>
      </c>
      <c r="G21" s="5" t="n"/>
      <c r="H21" s="5" t="n"/>
      <c r="I21" s="5" t="n"/>
      <c r="J21" s="5" t="n"/>
    </row>
    <row r="22">
      <c r="A22" s="3" t="n"/>
      <c r="B22" s="3">
        <f>IF(A22&gt;0,A22-A$2+1,"")</f>
        <v/>
      </c>
      <c r="C22" s="3" t="n"/>
      <c r="D22" s="3" t="n"/>
      <c r="E22" s="3" t="n"/>
      <c r="F22" s="3">
        <f>IF(E22&gt;0,SUM(E$2:E22)/60,0)</f>
        <v/>
      </c>
      <c r="G22" s="3" t="n"/>
      <c r="H22" s="3" t="n"/>
      <c r="I22" s="3" t="n"/>
      <c r="J22" s="3" t="n"/>
    </row>
    <row r="23">
      <c r="A23" s="5" t="n"/>
      <c r="B23" s="5">
        <f>IF(A23&gt;0,A23-A$2+1,"")</f>
        <v/>
      </c>
      <c r="C23" s="5" t="n"/>
      <c r="D23" s="5" t="n"/>
      <c r="E23" s="5" t="n"/>
      <c r="F23" s="5">
        <f>IF(E23&gt;0,SUM(E$2:E23)/60,0)</f>
        <v/>
      </c>
      <c r="G23" s="5" t="n"/>
      <c r="H23" s="5" t="n"/>
      <c r="I23" s="5" t="n"/>
      <c r="J23" s="5" t="n"/>
    </row>
    <row r="24">
      <c r="A24" s="3" t="n"/>
      <c r="B24" s="3">
        <f>IF(A24&gt;0,A24-A$2+1,"")</f>
        <v/>
      </c>
      <c r="C24" s="3" t="n"/>
      <c r="D24" s="3" t="n"/>
      <c r="E24" s="3" t="n"/>
      <c r="F24" s="3">
        <f>IF(E24&gt;0,SUM(E$2:E24)/60,0)</f>
        <v/>
      </c>
      <c r="G24" s="3" t="n"/>
      <c r="H24" s="3" t="n"/>
      <c r="I24" s="3" t="n"/>
      <c r="J24" s="3" t="n"/>
    </row>
    <row r="25">
      <c r="A25" s="5" t="n"/>
      <c r="B25" s="5">
        <f>IF(A25&gt;0,A25-A$2+1,"")</f>
        <v/>
      </c>
      <c r="C25" s="5" t="n"/>
      <c r="D25" s="5" t="n"/>
      <c r="E25" s="5" t="n"/>
      <c r="F25" s="5">
        <f>IF(E25&gt;0,SUM(E$2:E25)/60,0)</f>
        <v/>
      </c>
      <c r="G25" s="5" t="n"/>
      <c r="H25" s="5" t="n"/>
      <c r="I25" s="5" t="n"/>
      <c r="J25" s="5" t="n"/>
    </row>
    <row r="26">
      <c r="A26" s="3" t="n"/>
      <c r="B26" s="3">
        <f>IF(A26&gt;0,A26-A$2+1,"")</f>
        <v/>
      </c>
      <c r="C26" s="3" t="n"/>
      <c r="D26" s="3" t="n"/>
      <c r="E26" s="3" t="n"/>
      <c r="F26" s="3">
        <f>IF(E26&gt;0,SUM(E$2:E26)/60,0)</f>
        <v/>
      </c>
      <c r="G26" s="3" t="n"/>
      <c r="H26" s="3" t="n"/>
      <c r="I26" s="3" t="n"/>
      <c r="J26" s="3" t="n"/>
    </row>
    <row r="27">
      <c r="A27" s="5" t="n"/>
      <c r="B27" s="5">
        <f>IF(A27&gt;0,A27-A$2+1,"")</f>
        <v/>
      </c>
      <c r="C27" s="5" t="n"/>
      <c r="D27" s="5" t="n"/>
      <c r="E27" s="5" t="n"/>
      <c r="F27" s="5">
        <f>IF(E27&gt;0,SUM(E$2:E27)/60,0)</f>
        <v/>
      </c>
      <c r="G27" s="5" t="n"/>
      <c r="H27" s="5" t="n"/>
      <c r="I27" s="5" t="n"/>
      <c r="J27" s="5" t="n"/>
    </row>
    <row r="28">
      <c r="A28" s="3" t="n"/>
      <c r="B28" s="3">
        <f>IF(A28&gt;0,A28-A$2+1,"")</f>
        <v/>
      </c>
      <c r="C28" s="3" t="n"/>
      <c r="D28" s="3" t="n"/>
      <c r="E28" s="3" t="n"/>
      <c r="F28" s="3">
        <f>IF(E28&gt;0,SUM(E$2:E28)/60,0)</f>
        <v/>
      </c>
      <c r="G28" s="3" t="n"/>
      <c r="H28" s="3" t="n"/>
      <c r="I28" s="3" t="n"/>
      <c r="J28" s="3" t="n"/>
    </row>
    <row r="29">
      <c r="A29" s="5" t="n"/>
      <c r="B29" s="5">
        <f>IF(A29&gt;0,A29-A$2+1,"")</f>
        <v/>
      </c>
      <c r="C29" s="5" t="n"/>
      <c r="D29" s="5" t="n"/>
      <c r="E29" s="5" t="n"/>
      <c r="F29" s="5">
        <f>IF(E29&gt;0,SUM(E$2:E29)/60,0)</f>
        <v/>
      </c>
      <c r="G29" s="5" t="n"/>
      <c r="H29" s="5" t="n"/>
      <c r="I29" s="5" t="n"/>
      <c r="J29" s="5" t="n"/>
    </row>
    <row r="30">
      <c r="A30" s="3" t="n"/>
      <c r="B30" s="3">
        <f>IF(A30&gt;0,A30-A$2+1,"")</f>
        <v/>
      </c>
      <c r="C30" s="3" t="n"/>
      <c r="D30" s="3" t="n"/>
      <c r="E30" s="3" t="n"/>
      <c r="F30" s="3">
        <f>IF(E30&gt;0,SUM(E$2:E30)/60,0)</f>
        <v/>
      </c>
      <c r="G30" s="3" t="n"/>
      <c r="H30" s="3" t="n"/>
      <c r="I30" s="3" t="n"/>
      <c r="J30" s="3" t="n"/>
    </row>
    <row r="31">
      <c r="A31" s="5" t="n"/>
      <c r="B31" s="5">
        <f>IF(A31&gt;0,A31-A$2+1,"")</f>
        <v/>
      </c>
      <c r="C31" s="5" t="n"/>
      <c r="D31" s="5" t="n"/>
      <c r="E31" s="5" t="n"/>
      <c r="F31" s="5">
        <f>IF(E31&gt;0,SUM(E$2:E31)/60,0)</f>
        <v/>
      </c>
      <c r="G31" s="5" t="n"/>
      <c r="H31" s="5" t="n"/>
      <c r="I31" s="5" t="n"/>
      <c r="J31" s="5" t="n"/>
    </row>
  </sheetData>
  <dataValidations count="1">
    <dataValidation sqref="D2:D31" showDropDown="0" showInputMessage="0" showErrorMessage="0" allowBlank="1" errorTitle="输入错误" error="请从下拉列表中选择" type="list">
      <formula1>"P1-题材定位,P2-世界观,P3-角色,P4-大纲,P5-细纲,P6-正文,P7-修订"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00000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9" customWidth="1" min="4" max="4"/>
    <col width="45" customWidth="1" min="5" max="5"/>
    <col width="8" customWidth="1" min="6" max="6"/>
    <col width="8" customWidth="1" min="7" max="7"/>
  </cols>
  <sheetData>
    <row r="1">
      <c r="A1" s="1" t="inlineStr">
        <is>
          <t>阶段</t>
        </is>
      </c>
      <c r="B1" s="1" t="inlineStr">
        <is>
          <t>任务数</t>
        </is>
      </c>
      <c r="C1" s="1" t="inlineStr">
        <is>
          <t>已完成</t>
        </is>
      </c>
      <c r="D1" s="1" t="inlineStr">
        <is>
          <t>完成率</t>
        </is>
      </c>
      <c r="E1" s="1" t="inlineStr">
        <is>
          <t>平均质量分</t>
        </is>
      </c>
      <c r="F1" s="1" t="inlineStr">
        <is>
          <t>风险等级</t>
        </is>
      </c>
      <c r="G1" s="1" t="inlineStr">
        <is>
          <t>建议行动</t>
        </is>
      </c>
    </row>
    <row r="2">
      <c r="A2" s="13" t="inlineStr">
        <is>
          <t>P1-题材定位</t>
        </is>
      </c>
      <c r="B2" s="13" t="n">
        <v>5</v>
      </c>
      <c r="C2" s="13" t="n">
        <v>0</v>
      </c>
      <c r="D2" s="14">
        <f>IF(C2&gt;0,C2/B2,0)</f>
        <v/>
      </c>
      <c r="E2" s="13" t="n">
        <v>0</v>
      </c>
      <c r="F2" s="13" t="inlineStr">
        <is>
          <t>待评估</t>
        </is>
      </c>
      <c r="G2" s="13" t="n"/>
    </row>
    <row r="3">
      <c r="A3" s="15" t="inlineStr">
        <is>
          <t>P2-世界观</t>
        </is>
      </c>
      <c r="B3" s="15" t="n">
        <v>5</v>
      </c>
      <c r="C3" s="15" t="n">
        <v>0</v>
      </c>
      <c r="D3" s="16">
        <f>IF(C3&gt;0,C3/B3,0)</f>
        <v/>
      </c>
      <c r="E3" s="15" t="n">
        <v>0</v>
      </c>
      <c r="F3" s="15" t="inlineStr">
        <is>
          <t>待评估</t>
        </is>
      </c>
      <c r="G3" s="15" t="n"/>
    </row>
    <row r="4">
      <c r="A4" s="13" t="inlineStr">
        <is>
          <t>P3-角色</t>
        </is>
      </c>
      <c r="B4" s="13" t="n">
        <v>5</v>
      </c>
      <c r="C4" s="13" t="n">
        <v>0</v>
      </c>
      <c r="D4" s="14">
        <f>IF(C4&gt;0,C4/B4,0)</f>
        <v/>
      </c>
      <c r="E4" s="13" t="n">
        <v>0</v>
      </c>
      <c r="F4" s="13" t="inlineStr">
        <is>
          <t>待评估</t>
        </is>
      </c>
      <c r="G4" s="13" t="n"/>
    </row>
    <row r="5">
      <c r="A5" s="15" t="inlineStr">
        <is>
          <t>P4-大纲</t>
        </is>
      </c>
      <c r="B5" s="15" t="n">
        <v>5</v>
      </c>
      <c r="C5" s="15" t="n">
        <v>0</v>
      </c>
      <c r="D5" s="16">
        <f>IF(C5&gt;0,C5/B5,0)</f>
        <v/>
      </c>
      <c r="E5" s="15" t="n">
        <v>0</v>
      </c>
      <c r="F5" s="15" t="inlineStr">
        <is>
          <t>待评估</t>
        </is>
      </c>
      <c r="G5" s="15" t="n"/>
    </row>
    <row r="6">
      <c r="A6" s="13" t="inlineStr">
        <is>
          <t>P5-细纲</t>
        </is>
      </c>
      <c r="B6" s="13" t="n">
        <v>5</v>
      </c>
      <c r="C6" s="13" t="n">
        <v>0</v>
      </c>
      <c r="D6" s="14">
        <f>IF(C6&gt;0,C6/B6,0)</f>
        <v/>
      </c>
      <c r="E6" s="13" t="n">
        <v>0</v>
      </c>
      <c r="F6" s="13" t="inlineStr">
        <is>
          <t>待评估</t>
        </is>
      </c>
      <c r="G6" s="13" t="n"/>
    </row>
    <row r="7">
      <c r="A7" s="15" t="inlineStr">
        <is>
          <t>P6-正文</t>
        </is>
      </c>
      <c r="B7" s="15" t="n">
        <v>5</v>
      </c>
      <c r="C7" s="15" t="n">
        <v>0</v>
      </c>
      <c r="D7" s="16">
        <f>IF(C7&gt;0,C7/B7,0)</f>
        <v/>
      </c>
      <c r="E7" s="15" t="n">
        <v>0</v>
      </c>
      <c r="F7" s="15" t="inlineStr">
        <is>
          <t>待评估</t>
        </is>
      </c>
      <c r="G7" s="15" t="n"/>
    </row>
    <row r="8">
      <c r="A8" s="13" t="inlineStr">
        <is>
          <t>P7-修订</t>
        </is>
      </c>
      <c r="B8" s="13" t="n">
        <v>5</v>
      </c>
      <c r="C8" s="13" t="n">
        <v>0</v>
      </c>
      <c r="D8" s="14">
        <f>IF(C8&gt;0,C8/B8,0)</f>
        <v/>
      </c>
      <c r="E8" s="13" t="n">
        <v>0</v>
      </c>
      <c r="F8" s="13" t="inlineStr">
        <is>
          <t>待评估</t>
        </is>
      </c>
      <c r="G8" s="13" t="n"/>
    </row>
    <row r="9">
      <c r="A9" s="17" t="inlineStr">
        <is>
          <t>总计</t>
        </is>
      </c>
      <c r="B9" s="1">
        <f>SUM(B2:B8)</f>
        <v/>
      </c>
      <c r="C9" s="1">
        <f>SUM(C2:C8)</f>
        <v/>
      </c>
      <c r="D9" s="1">
        <f>IF(C9&gt;0,C9/B9,0)</f>
        <v/>
      </c>
      <c r="E9" s="1">
        <f>IF(COUNTIF(E2:E8,"&gt;0")&gt;0,AVERAGE(E2:E8),0)</f>
        <v/>
      </c>
      <c r="F9" s="1" t="n"/>
      <c r="G9" s="1" t="n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2026-06-09T04:41:15Z</dcterms:created>
  <dcterms:modified xmlns:dcterms="http://purl.org/dc/terms/" xmlns:xsi="http://www.w3.org/2001/XMLSchema-instance" xsi:type="dcterms:W3CDTF">2026-06-09T04:41:15Z</dcterms:modified>
</cp:coreProperties>
</file>