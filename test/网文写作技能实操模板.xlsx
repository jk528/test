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题材定位" sheetId="1" state="visible" r:id="rId1"/>
    <sheet xmlns:r="http://schemas.openxmlformats.org/officeDocument/2006/relationships" name="S2_世界观档案" sheetId="2" state="visible" r:id="rId2"/>
    <sheet xmlns:r="http://schemas.openxmlformats.org/officeDocument/2006/relationships" name="S3_角色设定卡" sheetId="3" state="visible" r:id="rId3"/>
    <sheet xmlns:r="http://schemas.openxmlformats.org/officeDocument/2006/relationships" name="S4_大纲规划" sheetId="4" state="visible" r:id="rId4"/>
    <sheet xmlns:r="http://schemas.openxmlformats.org/officeDocument/2006/relationships" name="S5_细纲拆解" sheetId="5" state="visible" r:id="rId5"/>
    <sheet xmlns:r="http://schemas.openxmlformats.org/officeDocument/2006/relationships" name="S6_正文写作" sheetId="6" state="visible" r:id="rId6"/>
    <sheet xmlns:r="http://schemas.openxmlformats.org/officeDocument/2006/relationships" name="S7_修订检查" sheetId="7" state="visible" r:id="rId7"/>
    <sheet xmlns:r="http://schemas.openxmlformats.org/officeDocument/2006/relationships" name="S8_名词词典" sheetId="8" state="visible" r:id="rId8"/>
    <sheet xmlns:r="http://schemas.openxmlformats.org/officeDocument/2006/relationships" name="S9_伏笔追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1F4E79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2F4F4F"/>
        <bgColor rgb="002F4F4F"/>
      </patternFill>
    </fill>
    <fill>
      <patternFill patternType="solid">
        <fgColor rgb="00F2F2F2"/>
        <bgColor rgb="00F2F2F2"/>
      </patternFill>
    </fill>
    <fill>
      <patternFill patternType="solid">
        <fgColor rgb="004F6F6F"/>
        <bgColor rgb="004F6F6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7" customWidth="1" min="3" max="3"/>
    <col width="8" customWidth="1" min="4" max="4"/>
    <col width="19" customWidth="1" min="5" max="5"/>
    <col width="8" customWidth="1" min="6" max="6"/>
  </cols>
  <sheetData>
    <row r="1" ht="40" customHeight="1">
      <c r="A1" s="1" t="inlineStr">
        <is>
          <t>【技能指引】本表用于确定你的网文题材定位。请逐行调研竞品，填写"我的答案"，对照"判断标准"自检，确保"是否合格"全部为"是"后再进入下一环节。</t>
        </is>
      </c>
    </row>
    <row r="2" ht="30" customHeight="1">
      <c r="A2" s="2" t="inlineStr">
        <is>
          <t>序号</t>
        </is>
      </c>
      <c r="B2" s="2" t="inlineStr">
        <is>
          <t>调研项</t>
        </is>
      </c>
      <c r="C2" s="2" t="inlineStr">
        <is>
          <t>操作方法</t>
        </is>
      </c>
      <c r="D2" s="2" t="inlineStr">
        <is>
          <t>我的答案</t>
        </is>
      </c>
      <c r="E2" s="2" t="inlineStr">
        <is>
          <t>判断标准</t>
        </is>
      </c>
      <c r="F2" s="2" t="inlineStr">
        <is>
          <t>是否合格</t>
        </is>
      </c>
    </row>
    <row r="3" ht="50" customHeight="1">
      <c r="A3" s="3" t="n">
        <v>1</v>
      </c>
      <c r="B3" s="3" t="inlineStr">
        <is>
          <t>竞品书名</t>
        </is>
      </c>
      <c r="C3" s="3" t="inlineStr">
        <is>
          <t>在目标平台搜索同类题材TOP10作品，记录书名</t>
        </is>
      </c>
      <c r="D3" s="3" t="inlineStr"/>
      <c r="E3" s="3" t="inlineStr">
        <is>
          <t>书名具有辨识度，能一眼看出题材类型</t>
        </is>
      </c>
      <c r="F3" s="3" t="inlineStr">
        <is>
          <t>否</t>
        </is>
      </c>
    </row>
    <row r="4" ht="50" customHeight="1">
      <c r="A4" s="4" t="n">
        <v>2</v>
      </c>
      <c r="B4" s="4" t="inlineStr">
        <is>
          <t>平台</t>
        </is>
      </c>
      <c r="C4" s="4" t="inlineStr">
        <is>
          <t>记录该竞品所在平台（起点/番茄/晋江等）</t>
        </is>
      </c>
      <c r="D4" s="4" t="inlineStr"/>
      <c r="E4" s="4" t="inlineStr">
        <is>
          <t>明确目标平台及其用户偏好</t>
        </is>
      </c>
      <c r="F4" s="4" t="inlineStr">
        <is>
          <t>否</t>
        </is>
      </c>
    </row>
    <row r="5" ht="50" customHeight="1">
      <c r="A5" s="3" t="n">
        <v>3</v>
      </c>
      <c r="B5" s="3" t="inlineStr">
        <is>
          <t>字数</t>
        </is>
      </c>
      <c r="C5" s="3" t="inlineStr">
        <is>
          <t>记录竞品总字数及完结状态</t>
        </is>
      </c>
      <c r="D5" s="3" t="inlineStr"/>
      <c r="E5" s="3" t="inlineStr">
        <is>
          <t>了解该题材的字数区间和市场容量</t>
        </is>
      </c>
      <c r="F5" s="3" t="inlineStr">
        <is>
          <t>否</t>
        </is>
      </c>
    </row>
    <row r="6" ht="50" customHeight="1">
      <c r="A6" s="4" t="n">
        <v>4</v>
      </c>
      <c r="B6" s="4" t="inlineStr">
        <is>
          <t>核心卖点</t>
        </is>
      </c>
      <c r="C6" s="4" t="inlineStr">
        <is>
          <t>提炼竞品最吸引读者的3个核心卖点</t>
        </is>
      </c>
      <c r="D6" s="4" t="inlineStr"/>
      <c r="E6" s="4" t="inlineStr">
        <is>
          <t>能清晰说出读者为什么看这本书</t>
        </is>
      </c>
      <c r="F6" s="4" t="inlineStr">
        <is>
          <t>否</t>
        </is>
      </c>
    </row>
    <row r="7" ht="50" customHeight="1">
      <c r="A7" s="3" t="n">
        <v>5</v>
      </c>
      <c r="B7" s="3" t="inlineStr">
        <is>
          <t>我的差异化</t>
        </is>
      </c>
      <c r="C7" s="3" t="inlineStr">
        <is>
          <t>对比竞品，列出你作品的3个独特之处</t>
        </is>
      </c>
      <c r="D7" s="3" t="inlineStr"/>
      <c r="E7" s="3" t="inlineStr">
        <is>
          <t>差异化明确，避免同质化</t>
        </is>
      </c>
      <c r="F7" s="3" t="inlineStr">
        <is>
          <t>否</t>
        </is>
      </c>
    </row>
    <row r="8" ht="50" customHeight="1">
      <c r="A8" s="4" t="n">
        <v>6</v>
      </c>
      <c r="B8" s="4" t="inlineStr">
        <is>
          <t>一句话卖点</t>
        </is>
      </c>
      <c r="C8" s="4" t="inlineStr">
        <is>
          <t>使用公式：[主角] + [金手指] + [核心冲突] + [独特设定]</t>
        </is>
      </c>
      <c r="D8" s="4" t="inlineStr"/>
      <c r="E8" s="4" t="inlineStr">
        <is>
          <t>30字内能让人产生阅读欲望</t>
        </is>
      </c>
      <c r="F8" s="4" t="inlineStr">
        <is>
          <t>否</t>
        </is>
      </c>
    </row>
    <row r="9" ht="25" customHeight="1">
      <c r="A9" s="5" t="inlineStr">
        <is>
          <t>【技能指引】一句话卖点公式模板：</t>
        </is>
      </c>
      <c r="B9" s="5" t="n"/>
      <c r="C9" s="5" t="n"/>
      <c r="D9" s="5" t="n"/>
      <c r="E9" s="5" t="n"/>
      <c r="F9" s="5" t="n"/>
    </row>
    <row r="10" ht="30" customHeight="1">
      <c r="A10" s="5" t="inlineStr">
        <is>
          <t>示例：废柴少年（主角）+ 获得上古炼丹术（金手指）+ 被宗门追杀（核心冲突）+ 丹药能升级万物（独特设定）</t>
        </is>
      </c>
      <c r="B10" s="5" t="n"/>
      <c r="C10" s="5" t="n"/>
      <c r="D10" s="5" t="n"/>
      <c r="E10" s="5" t="n"/>
      <c r="F10" s="5" t="n"/>
    </row>
  </sheetData>
  <mergeCells count="3">
    <mergeCell ref="A1:F1"/>
    <mergeCell ref="A9:F9"/>
    <mergeCell ref="A10:F10"/>
  </mergeCells>
  <conditionalFormatting sqref="F3:F8">
    <cfRule type="cellIs" priority="1" operator="equal" dxfId="0">
      <formula>"否"</formula>
    </cfRule>
  </conditionalFormatting>
  <dataValidations count="1">
    <dataValidation sqref="F3:F20" showDropDown="0" showInputMessage="0" showErrorMessage="0" allowBlank="1" errorTitle="输入错误" error="请选择&quot;是&quot;或&quot;否&quot;" type="list">
      <formula1>"是,否"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40" customHeight="1">
      <c r="A1" s="1" t="inlineStr">
        <is>
          <t>【技能指引】本表用于构建完整的世界观。8个维度缺一不可，力量体系必须量化。每个维度填写完毕后，检查"检查点"是否全部通过。</t>
        </is>
      </c>
    </row>
    <row r="2" ht="40" customHeight="1">
      <c r="A2" s="4" t="inlineStr">
        <is>
          <t>地理</t>
        </is>
      </c>
      <c r="B2" s="4" t="inlineStr">
        <is>
          <t>大陆名称</t>
        </is>
      </c>
      <c r="C2" s="4" t="inlineStr"/>
      <c r="D2" s="4" t="inlineStr"/>
      <c r="E2" s="4" t="inlineStr"/>
      <c r="F2" s="4" t="inlineStr"/>
    </row>
    <row r="3" ht="40" customHeight="1">
      <c r="A3" s="3" t="n"/>
      <c r="B3" s="3" t="inlineStr">
        <is>
          <t>地形分布</t>
        </is>
      </c>
      <c r="C3" s="3" t="inlineStr"/>
      <c r="D3" s="3" t="inlineStr"/>
      <c r="E3" s="3" t="inlineStr"/>
      <c r="F3" s="3" t="inlineStr"/>
    </row>
    <row r="4" ht="40" customHeight="1">
      <c r="A4" s="4" t="n"/>
      <c r="B4" s="4" t="inlineStr">
        <is>
          <t>气候特征</t>
        </is>
      </c>
      <c r="C4" s="4" t="inlineStr"/>
      <c r="D4" s="4" t="inlineStr"/>
      <c r="E4" s="4" t="inlineStr"/>
      <c r="F4" s="4" t="inlineStr"/>
    </row>
    <row r="5" ht="40" customHeight="1">
      <c r="A5" s="3" t="n"/>
      <c r="B5" s="3" t="inlineStr">
        <is>
          <t>重要地标</t>
        </is>
      </c>
      <c r="C5" s="3" t="inlineStr"/>
      <c r="D5" s="3" t="inlineStr"/>
      <c r="E5" s="3" t="inlineStr"/>
      <c r="F5" s="3" t="inlineStr"/>
    </row>
    <row r="6" ht="40" customHeight="1">
      <c r="A6" s="4" t="n"/>
      <c r="B6" s="4" t="inlineStr">
        <is>
          <t>危险区域</t>
        </is>
      </c>
      <c r="C6" s="4" t="inlineStr"/>
      <c r="D6" s="4" t="inlineStr"/>
      <c r="E6" s="4" t="inlineStr"/>
      <c r="F6" s="4" t="inlineStr"/>
    </row>
    <row r="7"/>
    <row r="8" ht="40" customHeight="1">
      <c r="A8" s="4" t="inlineStr">
        <is>
          <t>历史</t>
        </is>
      </c>
      <c r="B8" s="4" t="inlineStr">
        <is>
          <t>纪元划分</t>
        </is>
      </c>
      <c r="C8" s="4" t="inlineStr"/>
      <c r="D8" s="4" t="inlineStr"/>
      <c r="E8" s="4" t="inlineStr"/>
      <c r="F8" s="4" t="inlineStr"/>
    </row>
    <row r="9" ht="40" customHeight="1">
      <c r="A9" s="3" t="n"/>
      <c r="B9" s="3" t="inlineStr">
        <is>
          <t>重大事件</t>
        </is>
      </c>
      <c r="C9" s="3" t="inlineStr"/>
      <c r="D9" s="3" t="inlineStr"/>
      <c r="E9" s="3" t="inlineStr"/>
      <c r="F9" s="3" t="inlineStr"/>
    </row>
    <row r="10" ht="40" customHeight="1">
      <c r="A10" s="4" t="n"/>
      <c r="B10" s="4" t="inlineStr">
        <is>
          <t>传说神话</t>
        </is>
      </c>
      <c r="C10" s="4" t="inlineStr"/>
      <c r="D10" s="4" t="inlineStr"/>
      <c r="E10" s="4" t="inlineStr"/>
      <c r="F10" s="4" t="inlineStr"/>
    </row>
    <row r="11" ht="40" customHeight="1">
      <c r="A11" s="3" t="n"/>
      <c r="B11" s="3" t="inlineStr">
        <is>
          <t>历史遗留问题</t>
        </is>
      </c>
      <c r="C11" s="3" t="inlineStr"/>
      <c r="D11" s="3" t="inlineStr"/>
      <c r="E11" s="3" t="inlineStr"/>
      <c r="F11" s="3" t="inlineStr"/>
    </row>
    <row r="12" ht="40" customHeight="1">
      <c r="A12" s="4" t="n"/>
      <c r="B12" s="4" t="inlineStr">
        <is>
          <t>时代背景</t>
        </is>
      </c>
      <c r="C12" s="4" t="inlineStr"/>
      <c r="D12" s="4" t="inlineStr"/>
      <c r="E12" s="4" t="inlineStr"/>
      <c r="F12" s="4" t="inlineStr"/>
    </row>
    <row r="13"/>
    <row r="14" ht="40" customHeight="1">
      <c r="A14" s="4" t="inlineStr">
        <is>
          <t>政治</t>
        </is>
      </c>
      <c r="B14" s="4" t="inlineStr">
        <is>
          <t>国家/势力</t>
        </is>
      </c>
      <c r="C14" s="4" t="inlineStr"/>
      <c r="D14" s="4" t="inlineStr"/>
      <c r="E14" s="4" t="inlineStr"/>
      <c r="F14" s="4" t="inlineStr"/>
    </row>
    <row r="15" ht="40" customHeight="1">
      <c r="A15" s="3" t="n"/>
      <c r="B15" s="3" t="inlineStr">
        <is>
          <t>统治结构</t>
        </is>
      </c>
      <c r="C15" s="3" t="inlineStr"/>
      <c r="D15" s="3" t="inlineStr"/>
      <c r="E15" s="3" t="inlineStr"/>
      <c r="F15" s="3" t="inlineStr"/>
    </row>
    <row r="16" ht="40" customHeight="1">
      <c r="A16" s="4" t="n"/>
      <c r="B16" s="4" t="inlineStr">
        <is>
          <t>法律体系</t>
        </is>
      </c>
      <c r="C16" s="4" t="inlineStr"/>
      <c r="D16" s="4" t="inlineStr"/>
      <c r="E16" s="4" t="inlineStr"/>
      <c r="F16" s="4" t="inlineStr"/>
    </row>
    <row r="17" ht="40" customHeight="1">
      <c r="A17" s="3" t="n"/>
      <c r="B17" s="3" t="inlineStr">
        <is>
          <t>外交关系</t>
        </is>
      </c>
      <c r="C17" s="3" t="inlineStr"/>
      <c r="D17" s="3" t="inlineStr"/>
      <c r="E17" s="3" t="inlineStr"/>
      <c r="F17" s="3" t="inlineStr"/>
    </row>
    <row r="18" ht="40" customHeight="1">
      <c r="A18" s="4" t="n"/>
      <c r="B18" s="4" t="inlineStr">
        <is>
          <t>权力斗争</t>
        </is>
      </c>
      <c r="C18" s="4" t="inlineStr"/>
      <c r="D18" s="4" t="inlineStr"/>
      <c r="E18" s="4" t="inlineStr"/>
      <c r="F18" s="4" t="inlineStr"/>
    </row>
    <row r="19"/>
    <row r="20" ht="40" customHeight="1">
      <c r="A20" s="4" t="inlineStr">
        <is>
          <t>经济</t>
        </is>
      </c>
      <c r="B20" s="4" t="inlineStr">
        <is>
          <t>货币系统</t>
        </is>
      </c>
      <c r="C20" s="4" t="inlineStr"/>
      <c r="D20" s="4" t="inlineStr"/>
      <c r="E20" s="4" t="inlineStr"/>
      <c r="F20" s="4" t="inlineStr"/>
    </row>
    <row r="21" ht="40" customHeight="1">
      <c r="A21" s="3" t="n"/>
      <c r="B21" s="3" t="inlineStr">
        <is>
          <t>资源分布</t>
        </is>
      </c>
      <c r="C21" s="3" t="inlineStr"/>
      <c r="D21" s="3" t="inlineStr"/>
      <c r="E21" s="3" t="inlineStr"/>
      <c r="F21" s="3" t="inlineStr"/>
    </row>
    <row r="22" ht="40" customHeight="1">
      <c r="A22" s="4" t="n"/>
      <c r="B22" s="4" t="inlineStr">
        <is>
          <t>贸易路线</t>
        </is>
      </c>
      <c r="C22" s="4" t="inlineStr"/>
      <c r="D22" s="4" t="inlineStr"/>
      <c r="E22" s="4" t="inlineStr"/>
      <c r="F22" s="4" t="inlineStr"/>
    </row>
    <row r="23" ht="40" customHeight="1">
      <c r="A23" s="3" t="n"/>
      <c r="B23" s="3" t="inlineStr">
        <is>
          <t>贫富差距</t>
        </is>
      </c>
      <c r="C23" s="3" t="inlineStr"/>
      <c r="D23" s="3" t="inlineStr"/>
      <c r="E23" s="3" t="inlineStr"/>
      <c r="F23" s="3" t="inlineStr"/>
    </row>
    <row r="24" ht="40" customHeight="1">
      <c r="A24" s="4" t="n"/>
      <c r="B24" s="4" t="inlineStr">
        <is>
          <t>重要产业</t>
        </is>
      </c>
      <c r="C24" s="4" t="inlineStr"/>
      <c r="D24" s="4" t="inlineStr"/>
      <c r="E24" s="4" t="inlineStr"/>
      <c r="F24" s="4" t="inlineStr"/>
    </row>
    <row r="25"/>
    <row r="26" ht="40" customHeight="1">
      <c r="A26" s="4" t="inlineStr">
        <is>
          <t>文化</t>
        </is>
      </c>
      <c r="B26" s="4" t="inlineStr">
        <is>
          <t>语言文字</t>
        </is>
      </c>
      <c r="C26" s="4" t="inlineStr"/>
      <c r="D26" s="4" t="inlineStr"/>
      <c r="E26" s="4" t="inlineStr"/>
      <c r="F26" s="4" t="inlineStr"/>
    </row>
    <row r="27" ht="40" customHeight="1">
      <c r="A27" s="3" t="n"/>
      <c r="B27" s="3" t="inlineStr">
        <is>
          <t>宗教信仰</t>
        </is>
      </c>
      <c r="C27" s="3" t="inlineStr"/>
      <c r="D27" s="3" t="inlineStr"/>
      <c r="E27" s="3" t="inlineStr"/>
      <c r="F27" s="3" t="inlineStr"/>
    </row>
    <row r="28" ht="40" customHeight="1">
      <c r="A28" s="4" t="n"/>
      <c r="B28" s="4" t="inlineStr">
        <is>
          <t>风俗习惯</t>
        </is>
      </c>
      <c r="C28" s="4" t="inlineStr"/>
      <c r="D28" s="4" t="inlineStr"/>
      <c r="E28" s="4" t="inlineStr"/>
      <c r="F28" s="4" t="inlineStr"/>
    </row>
    <row r="29" ht="40" customHeight="1">
      <c r="A29" s="3" t="n"/>
      <c r="B29" s="3" t="inlineStr">
        <is>
          <t>艺术形式</t>
        </is>
      </c>
      <c r="C29" s="3" t="inlineStr"/>
      <c r="D29" s="3" t="inlineStr"/>
      <c r="E29" s="3" t="inlineStr"/>
      <c r="F29" s="3" t="inlineStr"/>
    </row>
    <row r="30" ht="40" customHeight="1">
      <c r="A30" s="4" t="n"/>
      <c r="B30" s="4" t="inlineStr">
        <is>
          <t>禁忌避讳</t>
        </is>
      </c>
      <c r="C30" s="4" t="inlineStr"/>
      <c r="D30" s="4" t="inlineStr"/>
      <c r="E30" s="4" t="inlineStr"/>
      <c r="F30" s="4" t="inlineStr"/>
    </row>
    <row r="31"/>
    <row r="32" ht="40" customHeight="1">
      <c r="A32" s="4" t="inlineStr">
        <is>
          <t>修炼体系</t>
        </is>
      </c>
      <c r="B32" s="4" t="inlineStr">
        <is>
          <t>等级名称</t>
        </is>
      </c>
      <c r="C32" s="4" t="inlineStr"/>
      <c r="D32" s="4" t="inlineStr"/>
      <c r="E32" s="4" t="inlineStr"/>
      <c r="F32" s="4" t="inlineStr"/>
    </row>
    <row r="33" ht="40" customHeight="1">
      <c r="A33" s="3" t="n"/>
      <c r="B33" s="3" t="inlineStr">
        <is>
          <t>升级条件</t>
        </is>
      </c>
      <c r="C33" s="3" t="inlineStr"/>
      <c r="D33" s="3" t="inlineStr"/>
      <c r="E33" s="3" t="inlineStr"/>
      <c r="F33" s="3" t="inlineStr"/>
    </row>
    <row r="34" ht="40" customHeight="1">
      <c r="A34" s="4" t="n"/>
      <c r="B34" s="4" t="inlineStr">
        <is>
          <t>能力范围</t>
        </is>
      </c>
      <c r="C34" s="4" t="inlineStr"/>
      <c r="D34" s="4" t="inlineStr"/>
      <c r="E34" s="4" t="inlineStr"/>
      <c r="F34" s="4" t="inlineStr"/>
    </row>
    <row r="35" ht="40" customHeight="1">
      <c r="A35" s="3" t="n"/>
      <c r="B35" s="3" t="inlineStr">
        <is>
          <t>限制条件</t>
        </is>
      </c>
      <c r="C35" s="3" t="inlineStr"/>
      <c r="D35" s="3" t="inlineStr"/>
      <c r="E35" s="3" t="inlineStr"/>
      <c r="F35" s="3" t="inlineStr"/>
    </row>
    <row r="36" ht="40" customHeight="1">
      <c r="A36" s="4" t="n"/>
      <c r="B36" s="4" t="inlineStr">
        <is>
          <t>特殊规则</t>
        </is>
      </c>
      <c r="C36" s="4" t="inlineStr"/>
      <c r="D36" s="4" t="inlineStr"/>
      <c r="E36" s="4" t="inlineStr"/>
      <c r="F36" s="4" t="inlineStr"/>
    </row>
    <row r="37"/>
    <row r="38" ht="40" customHeight="1">
      <c r="A38" s="4" t="inlineStr">
        <is>
          <t>社会结构</t>
        </is>
      </c>
      <c r="B38" s="4" t="inlineStr">
        <is>
          <t>阶层划分</t>
        </is>
      </c>
      <c r="C38" s="4" t="inlineStr"/>
      <c r="D38" s="4" t="inlineStr"/>
      <c r="E38" s="4" t="inlineStr"/>
      <c r="F38" s="4" t="inlineStr"/>
    </row>
    <row r="39" ht="40" customHeight="1">
      <c r="A39" s="3" t="n"/>
      <c r="B39" s="3" t="inlineStr">
        <is>
          <t>组织形式</t>
        </is>
      </c>
      <c r="C39" s="3" t="inlineStr"/>
      <c r="D39" s="3" t="inlineStr"/>
      <c r="E39" s="3" t="inlineStr"/>
      <c r="F39" s="3" t="inlineStr"/>
    </row>
    <row r="40" ht="40" customHeight="1">
      <c r="A40" s="4" t="n"/>
      <c r="B40" s="4" t="inlineStr">
        <is>
          <t>婚姻制度</t>
        </is>
      </c>
      <c r="C40" s="4" t="inlineStr"/>
      <c r="D40" s="4" t="inlineStr"/>
      <c r="E40" s="4" t="inlineStr"/>
      <c r="F40" s="4" t="inlineStr"/>
    </row>
    <row r="41" ht="40" customHeight="1">
      <c r="A41" s="3" t="n"/>
      <c r="B41" s="3" t="inlineStr">
        <is>
          <t>继承规则</t>
        </is>
      </c>
      <c r="C41" s="3" t="inlineStr"/>
      <c r="D41" s="3" t="inlineStr"/>
      <c r="E41" s="3" t="inlineStr"/>
      <c r="F41" s="3" t="inlineStr"/>
    </row>
    <row r="42" ht="40" customHeight="1">
      <c r="A42" s="4" t="n"/>
      <c r="B42" s="4" t="inlineStr">
        <is>
          <t>流动机制</t>
        </is>
      </c>
      <c r="C42" s="4" t="inlineStr"/>
      <c r="D42" s="4" t="inlineStr"/>
      <c r="E42" s="4" t="inlineStr"/>
      <c r="F42" s="4" t="inlineStr"/>
    </row>
    <row r="43"/>
    <row r="44" ht="40" customHeight="1">
      <c r="A44" s="4" t="inlineStr">
        <is>
          <t>日常规则</t>
        </is>
      </c>
      <c r="B44" s="4" t="inlineStr">
        <is>
          <t>时间历法</t>
        </is>
      </c>
      <c r="C44" s="4" t="inlineStr"/>
      <c r="D44" s="4" t="inlineStr"/>
      <c r="E44" s="4" t="inlineStr"/>
      <c r="F44" s="4" t="inlineStr"/>
    </row>
    <row r="45" ht="40" customHeight="1">
      <c r="A45" s="3" t="n"/>
      <c r="B45" s="3" t="inlineStr">
        <is>
          <t>饮食起居</t>
        </is>
      </c>
      <c r="C45" s="3" t="inlineStr"/>
      <c r="D45" s="3" t="inlineStr"/>
      <c r="E45" s="3" t="inlineStr"/>
      <c r="F45" s="3" t="inlineStr"/>
    </row>
    <row r="46" ht="40" customHeight="1">
      <c r="A46" s="4" t="n"/>
      <c r="B46" s="4" t="inlineStr">
        <is>
          <t>交通方式</t>
        </is>
      </c>
      <c r="C46" s="4" t="inlineStr"/>
      <c r="D46" s="4" t="inlineStr"/>
      <c r="E46" s="4" t="inlineStr"/>
      <c r="F46" s="4" t="inlineStr"/>
    </row>
    <row r="47" ht="40" customHeight="1">
      <c r="A47" s="3" t="n"/>
      <c r="B47" s="3" t="inlineStr">
        <is>
          <t>通讯方式</t>
        </is>
      </c>
      <c r="C47" s="3" t="inlineStr"/>
      <c r="D47" s="3" t="inlineStr"/>
      <c r="E47" s="3" t="inlineStr"/>
      <c r="F47" s="3" t="inlineStr"/>
    </row>
    <row r="48" ht="40" customHeight="1">
      <c r="A48" s="4" t="n"/>
      <c r="B48" s="4" t="inlineStr">
        <is>
          <t>娱乐方式</t>
        </is>
      </c>
      <c r="C48" s="4" t="inlineStr"/>
      <c r="D48" s="4" t="inlineStr"/>
      <c r="E48" s="4" t="inlineStr"/>
      <c r="F48" s="4" t="inlineStr"/>
    </row>
    <row r="49"/>
    <row r="50"/>
    <row r="51" ht="25" customHeight="1">
      <c r="A51" s="5" t="inlineStr">
        <is>
          <t>【技能指引】力量体系检查清单（必须全部量化）：</t>
        </is>
      </c>
      <c r="B51" s="5" t="n"/>
      <c r="C51" s="5" t="n"/>
      <c r="D51" s="5" t="n"/>
      <c r="E51" s="5" t="n"/>
      <c r="F51" s="5" t="n"/>
    </row>
    <row r="52" ht="25" customHeight="1">
      <c r="A52" s="5" t="inlineStr">
        <is>
          <t>1. 每个等级是否有明确的名称？</t>
        </is>
      </c>
      <c r="B52" s="5" t="n"/>
      <c r="C52" s="5" t="n"/>
      <c r="D52" s="5" t="n"/>
      <c r="E52" s="5" t="n"/>
      <c r="F52" s="5" t="n"/>
    </row>
    <row r="53" ht="25" customHeight="1">
      <c r="A53" s="5" t="inlineStr">
        <is>
          <t>2. 升级条件是否具体可衡量？（如：吸收100颗灵石 / 击败同阶对手3人）</t>
        </is>
      </c>
      <c r="B53" s="5" t="n"/>
      <c r="C53" s="5" t="n"/>
      <c r="D53" s="5" t="n"/>
      <c r="E53" s="5" t="n"/>
      <c r="F53" s="5" t="n"/>
    </row>
    <row r="54" ht="25" customHeight="1">
      <c r="A54" s="5" t="inlineStr">
        <is>
          <t>3. 能力范围是否量化？（如：一拳之力=千斤 / 神识覆盖=十里）</t>
        </is>
      </c>
      <c r="B54" s="5" t="n"/>
      <c r="C54" s="5" t="n"/>
      <c r="D54" s="5" t="n"/>
      <c r="E54" s="5" t="n"/>
      <c r="F54" s="5" t="n"/>
    </row>
    <row r="55" ht="25" customHeight="1">
      <c r="A55" s="5" t="inlineStr">
        <is>
          <t>4. 限制条件是否清晰？（如：每日只能使用3次 / 使用后虚弱1时辰）</t>
        </is>
      </c>
      <c r="B55" s="5" t="n"/>
      <c r="C55" s="5" t="n"/>
      <c r="D55" s="5" t="n"/>
      <c r="E55" s="5" t="n"/>
      <c r="F55" s="5" t="n"/>
    </row>
    <row r="56" ht="25" customHeight="1">
      <c r="A56" s="5" t="inlineStr">
        <is>
          <t>5. 高阶对低阶是否有压制规则？</t>
        </is>
      </c>
      <c r="B56" s="5" t="n"/>
      <c r="C56" s="5" t="n"/>
      <c r="D56" s="5" t="n"/>
      <c r="E56" s="5" t="n"/>
      <c r="F56" s="5" t="n"/>
    </row>
    <row r="57" ht="25" customHeight="1">
      <c r="A57" s="5" t="inlineStr">
        <is>
          <t>6. 是否存在越级挑战的可能及条件？</t>
        </is>
      </c>
      <c r="B57" s="5" t="n"/>
      <c r="C57" s="5" t="n"/>
      <c r="D57" s="5" t="n"/>
      <c r="E57" s="5" t="n"/>
      <c r="F57" s="5" t="n"/>
    </row>
  </sheetData>
  <mergeCells count="16">
    <mergeCell ref="A54:F54"/>
    <mergeCell ref="A51:F51"/>
    <mergeCell ref="A52:F52"/>
    <mergeCell ref="A44:A48"/>
    <mergeCell ref="A55:F55"/>
    <mergeCell ref="A8:A12"/>
    <mergeCell ref="A1:F1"/>
    <mergeCell ref="A2:A6"/>
    <mergeCell ref="A38:A42"/>
    <mergeCell ref="A20:A24"/>
    <mergeCell ref="A56:F56"/>
    <mergeCell ref="A14:A18"/>
    <mergeCell ref="A53:F53"/>
    <mergeCell ref="A32:A36"/>
    <mergeCell ref="A26:A30"/>
    <mergeCell ref="A57:F5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9" customWidth="1" min="4" max="4"/>
    <col width="34" customWidth="1" min="5" max="5"/>
    <col width="13" customWidth="1" min="6" max="6"/>
    <col width="8" customWidth="1" min="7" max="7"/>
    <col width="13" customWidth="1" min="8" max="8"/>
  </cols>
  <sheetData>
    <row r="1" ht="40" customHeight="1">
      <c r="A1" s="1" t="inlineStr">
        <is>
          <t>【技能指引】本表包含主角卡、配角矩阵和关系图。主角必须有完整的弧光设计，配角必须标注功能标签。关系图用文字描述即可。</t>
        </is>
      </c>
    </row>
    <row r="2" ht="25" customHeight="1">
      <c r="A2" s="6" t="inlineStr">
        <is>
          <t>【主角卡】</t>
        </is>
      </c>
    </row>
    <row r="3" ht="35" customHeight="1">
      <c r="A3" s="3" t="inlineStr">
        <is>
          <t>姓名</t>
        </is>
      </c>
      <c r="B3" s="3" t="inlineStr"/>
      <c r="C3" s="3" t="n"/>
      <c r="D3" s="3" t="n"/>
      <c r="E3" s="5" t="inlineStr">
        <is>
          <t>【指引】给主角起一个易记、有辨识度的名字</t>
        </is>
      </c>
      <c r="F3" s="3" t="n"/>
      <c r="G3" s="3" t="n"/>
      <c r="H3" s="3" t="n"/>
    </row>
    <row r="4" ht="35" customHeight="1">
      <c r="A4" s="4" t="inlineStr">
        <is>
          <t>年龄</t>
        </is>
      </c>
      <c r="B4" s="4" t="inlineStr"/>
      <c r="C4" s="4" t="n"/>
      <c r="D4" s="4" t="n"/>
      <c r="E4" s="5" t="inlineStr">
        <is>
          <t>【指引】明确年龄，影响行为逻辑和读者代入感</t>
        </is>
      </c>
      <c r="F4" s="4" t="n"/>
      <c r="G4" s="4" t="n"/>
      <c r="H4" s="4" t="n"/>
    </row>
    <row r="5" ht="35" customHeight="1">
      <c r="A5" s="3" t="inlineStr">
        <is>
          <t>身份</t>
        </is>
      </c>
      <c r="B5" s="3" t="inlineStr"/>
      <c r="C5" s="3" t="n"/>
      <c r="D5" s="3" t="n"/>
      <c r="E5" s="5" t="inlineStr">
        <is>
          <t>【指引】故事开始时的社会身份（如：杂役弟子/落魄贵族）</t>
        </is>
      </c>
      <c r="F5" s="3" t="n"/>
      <c r="G5" s="3" t="n"/>
      <c r="H5" s="3" t="n"/>
    </row>
    <row r="6" ht="35" customHeight="1">
      <c r="A6" s="4" t="inlineStr">
        <is>
          <t>核心目标</t>
        </is>
      </c>
      <c r="B6" s="4" t="inlineStr"/>
      <c r="C6" s="4" t="n"/>
      <c r="D6" s="4" t="n"/>
      <c r="E6" s="5" t="inlineStr">
        <is>
          <t>【指引】主角最想达成的外在目标（如：报仇/寻宝/称帝）</t>
        </is>
      </c>
      <c r="F6" s="4" t="n"/>
      <c r="G6" s="4" t="n"/>
      <c r="H6" s="4" t="n"/>
    </row>
    <row r="7" ht="35" customHeight="1">
      <c r="A7" s="3" t="inlineStr">
        <is>
          <t>深层动机</t>
        </is>
      </c>
      <c r="B7" s="3" t="inlineStr"/>
      <c r="C7" s="3" t="n"/>
      <c r="D7" s="3" t="n"/>
      <c r="E7" s="5" t="inlineStr">
        <is>
          <t>【指引】驱动核心目标的内在原因（如：被嘲笑的屈辱/对亲人的愧疚）</t>
        </is>
      </c>
      <c r="F7" s="3" t="n"/>
      <c r="G7" s="3" t="n"/>
      <c r="H7" s="3" t="n"/>
    </row>
    <row r="8" ht="35" customHeight="1">
      <c r="A8" s="4" t="inlineStr">
        <is>
          <t>性格缺陷</t>
        </is>
      </c>
      <c r="B8" s="4" t="inlineStr"/>
      <c r="C8" s="4" t="n"/>
      <c r="D8" s="4" t="n"/>
      <c r="E8" s="5" t="inlineStr">
        <is>
          <t>【指引】主角的性格弱点，是弧光的起点（如：冲动/自卑/贪婪）</t>
        </is>
      </c>
      <c r="F8" s="4" t="n"/>
      <c r="G8" s="4" t="n"/>
      <c r="H8" s="4" t="n"/>
    </row>
    <row r="9" ht="35" customHeight="1">
      <c r="A9" s="3" t="inlineStr">
        <is>
          <t>起始状态</t>
        </is>
      </c>
      <c r="B9" s="3" t="inlineStr"/>
      <c r="C9" s="3" t="n"/>
      <c r="D9" s="3" t="n"/>
      <c r="E9" s="5" t="inlineStr">
        <is>
          <t>【指引】故事开始时主角的能力/地位/心理状态</t>
        </is>
      </c>
      <c r="F9" s="3" t="n"/>
      <c r="G9" s="3" t="n"/>
      <c r="H9" s="3" t="n"/>
    </row>
    <row r="10" ht="35" customHeight="1">
      <c r="A10" s="4" t="inlineStr">
        <is>
          <t>终点状态</t>
        </is>
      </c>
      <c r="B10" s="4" t="inlineStr"/>
      <c r="C10" s="4" t="n"/>
      <c r="D10" s="4" t="n"/>
      <c r="E10" s="5" t="inlineStr">
        <is>
          <t>【指引】故事结束时主角应达到的状态</t>
        </is>
      </c>
      <c r="F10" s="4" t="n"/>
      <c r="G10" s="4" t="n"/>
      <c r="H10" s="4" t="n"/>
    </row>
    <row r="11" ht="35" customHeight="1">
      <c r="A11" s="3" t="inlineStr">
        <is>
          <t>弧光转变</t>
        </is>
      </c>
      <c r="B11" s="3" t="inlineStr"/>
      <c r="C11" s="3" t="n"/>
      <c r="D11" s="3" t="n"/>
      <c r="E11" s="5" t="inlineStr">
        <is>
          <t>【指引】从起始到终点的转变过程简述</t>
        </is>
      </c>
      <c r="F11" s="3" t="n"/>
      <c r="G11" s="3" t="n"/>
      <c r="H11" s="3" t="n"/>
    </row>
    <row r="12"/>
    <row r="13" ht="25" customHeight="1">
      <c r="A13" s="6" t="inlineStr">
        <is>
          <t>【配角矩阵】</t>
        </is>
      </c>
    </row>
    <row r="14" ht="25" customHeight="1">
      <c r="A14" s="7" t="inlineStr">
        <is>
          <t>姓名</t>
        </is>
      </c>
      <c r="B14" s="7" t="inlineStr">
        <is>
          <t>功能标签</t>
        </is>
      </c>
      <c r="C14" s="7" t="inlineStr">
        <is>
          <t>与主角关系</t>
        </is>
      </c>
      <c r="D14" s="7" t="inlineStr">
        <is>
          <t>命运走向</t>
        </is>
      </c>
      <c r="E14" s="7" t="inlineStr">
        <is>
          <t>首次出场</t>
        </is>
      </c>
      <c r="F14" s="7" t="inlineStr">
        <is>
          <t>核心作用</t>
        </is>
      </c>
      <c r="G14" s="7" t="inlineStr">
        <is>
          <t>退场方式</t>
        </is>
      </c>
      <c r="H14" s="7" t="inlineStr">
        <is>
          <t>备注</t>
        </is>
      </c>
    </row>
    <row r="15" ht="30" customHeight="1">
      <c r="A15" s="3" t="inlineStr">
        <is>
          <t>示例：林老</t>
        </is>
      </c>
      <c r="B15" s="3" t="inlineStr">
        <is>
          <t>导师</t>
        </is>
      </c>
      <c r="C15" s="3" t="inlineStr">
        <is>
          <t>师徒</t>
        </is>
      </c>
      <c r="D15" s="3" t="inlineStr">
        <is>
          <t>为保护主角牺牲</t>
        </is>
      </c>
      <c r="E15" s="3" t="inlineStr">
        <is>
          <t>第5章</t>
        </is>
      </c>
      <c r="F15" s="3" t="inlineStr">
        <is>
          <t>传授功法、引导主角成长</t>
        </is>
      </c>
      <c r="G15" s="3" t="inlineStr">
        <is>
          <t>舍身挡刀</t>
        </is>
      </c>
      <c r="H15" s="3" t="inlineStr">
        <is>
          <t>牺牲要感人，铺垫要充分</t>
        </is>
      </c>
    </row>
    <row r="16" ht="3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30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/>
    <row r="21" ht="25" customHeight="1">
      <c r="A21" s="8" t="inlineStr">
        <is>
          <t>【关系图文字描述区】</t>
        </is>
      </c>
    </row>
    <row r="22" ht="25" customHeight="1">
      <c r="A22" s="5" t="inlineStr">
        <is>
          <t>用箭头符号描述角色关系网，例如：</t>
        </is>
      </c>
      <c r="B22" s="5" t="n"/>
      <c r="C22" s="5" t="n"/>
      <c r="D22" s="5" t="n"/>
      <c r="E22" s="5" t="n"/>
      <c r="F22" s="5" t="n"/>
      <c r="G22" s="5" t="n"/>
      <c r="H22" s="5" t="n"/>
    </row>
    <row r="23" ht="25" customHeight="1">
      <c r="A23" s="5" t="inlineStr">
        <is>
          <t>主角 →(仇恨)→ 反派A  |  主角 →(师徒)→ 导师  |  主角 ←(爱慕)→ 女主  |  盟友B →(背叛)→ 反派A</t>
        </is>
      </c>
      <c r="B23" s="5" t="n"/>
      <c r="C23" s="5" t="n"/>
      <c r="D23" s="5" t="n"/>
      <c r="E23" s="5" t="n"/>
      <c r="F23" s="5" t="n"/>
      <c r="G23" s="5" t="n"/>
      <c r="H23" s="5" t="n"/>
    </row>
    <row r="24" ht="30" customHeight="1">
      <c r="A24" s="3" t="inlineStr">
        <is>
          <t>（在此处继续填写你的关系网）</t>
        </is>
      </c>
      <c r="B24" s="3" t="n"/>
      <c r="C24" s="3" t="n"/>
      <c r="D24" s="3" t="n"/>
      <c r="E24" s="3" t="n"/>
      <c r="F24" s="3" t="n"/>
      <c r="G24" s="3" t="n"/>
      <c r="H24" s="3" t="n"/>
    </row>
    <row r="25" ht="30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30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30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</sheetData>
  <mergeCells count="25">
    <mergeCell ref="B11:D11"/>
    <mergeCell ref="B8:D8"/>
    <mergeCell ref="E7:H7"/>
    <mergeCell ref="A1:H1"/>
    <mergeCell ref="B10:D10"/>
    <mergeCell ref="E3:H3"/>
    <mergeCell ref="B9:D9"/>
    <mergeCell ref="B6:D6"/>
    <mergeCell ref="E5:H5"/>
    <mergeCell ref="B5:D5"/>
    <mergeCell ref="A21:H21"/>
    <mergeCell ref="E8:H8"/>
    <mergeCell ref="A2:H2"/>
    <mergeCell ref="E4:H4"/>
    <mergeCell ref="B4:D4"/>
    <mergeCell ref="A24:H27"/>
    <mergeCell ref="A23:H23"/>
    <mergeCell ref="B7:D7"/>
    <mergeCell ref="E10:H10"/>
    <mergeCell ref="A22:H22"/>
    <mergeCell ref="B3:D3"/>
    <mergeCell ref="E9:H9"/>
    <mergeCell ref="E6:H6"/>
    <mergeCell ref="A13:H13"/>
    <mergeCell ref="E11:H11"/>
  </mergeCells>
  <dataValidations count="1">
    <dataValidation sqref="B15:B34" showDropDown="0" showInputMessage="0" showErrorMessage="0" allowBlank="1" type="list">
      <formula1>"导师,对手,盟友,喜剧,悲剧,爱人,工具人,幕后黑手"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0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14" customWidth="1" min="5" max="5"/>
    <col width="12" customWidth="1" min="6" max="6"/>
    <col width="8" customWidth="1" min="7" max="7"/>
    <col width="8" customWidth="1" min="8" max="8"/>
    <col width="17" customWidth="1" min="9" max="9"/>
    <col width="22" customWidth="1" min="10" max="10"/>
  </cols>
  <sheetData>
    <row r="1" ht="40" customHeight="1">
      <c r="A1" s="1" t="inlineStr">
        <is>
          <t>【技能指引】本表包含卷规划、章规划和节奏检查。爽点是网文的生命线，连续10章无爽点必须标红预警。伏笔要闭环管理。</t>
        </is>
      </c>
    </row>
    <row r="2" ht="25" customHeight="1">
      <c r="A2" s="6" t="inlineStr">
        <is>
          <t>【卷规划】</t>
        </is>
      </c>
    </row>
    <row r="3" ht="25" customHeight="1">
      <c r="A3" s="7" t="inlineStr">
        <is>
          <t>卷号</t>
        </is>
      </c>
      <c r="B3" s="7" t="inlineStr">
        <is>
          <t>卷名</t>
        </is>
      </c>
      <c r="C3" s="7" t="inlineStr">
        <is>
          <t>起始章</t>
        </is>
      </c>
      <c r="D3" s="7" t="inlineStr">
        <is>
          <t>结束章</t>
        </is>
      </c>
      <c r="E3" s="7" t="inlineStr">
        <is>
          <t>核心事件</t>
        </is>
      </c>
      <c r="F3" s="7" t="inlineStr">
        <is>
          <t>爽点设计</t>
        </is>
      </c>
      <c r="G3" s="7" t="inlineStr">
        <is>
          <t>情绪基调</t>
        </is>
      </c>
      <c r="H3" s="7" t="inlineStr">
        <is>
          <t>目标字数</t>
        </is>
      </c>
      <c r="I3" s="7" t="inlineStr">
        <is>
          <t>完成状态</t>
        </is>
      </c>
      <c r="J3" s="7" t="inlineStr">
        <is>
          <t>备注</t>
        </is>
      </c>
    </row>
    <row r="4" ht="35" customHeight="1">
      <c r="A4" s="4" t="n">
        <v>1</v>
      </c>
      <c r="B4" s="4" t="inlineStr">
        <is>
          <t>崛起之路</t>
        </is>
      </c>
      <c r="C4" s="4" t="n">
        <v>1</v>
      </c>
      <c r="D4" s="4" t="n">
        <v>100</v>
      </c>
      <c r="E4" s="4" t="inlineStr">
        <is>
          <t>主角获得金手指，初步崛起</t>
        </is>
      </c>
      <c r="F4" s="4" t="inlineStr">
        <is>
          <t>打脸嘲讽者、获得奇遇</t>
        </is>
      </c>
      <c r="G4" s="4" t="inlineStr">
        <is>
          <t>压抑→爆发</t>
        </is>
      </c>
      <c r="H4" s="4" t="n">
        <v>200000</v>
      </c>
      <c r="I4" s="4" t="inlineStr"/>
      <c r="J4" s="4" t="inlineStr"/>
    </row>
    <row r="5" ht="35" customHeight="1">
      <c r="A5" s="3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35" customHeight="1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/>
    <row r="8" ht="25" customHeight="1">
      <c r="A8" s="6" t="inlineStr">
        <is>
          <t>【章规划】</t>
        </is>
      </c>
    </row>
    <row r="9" ht="25" customHeight="1">
      <c r="A9" s="7" t="inlineStr">
        <is>
          <t>章号</t>
        </is>
      </c>
      <c r="B9" s="7" t="inlineStr">
        <is>
          <t>标题</t>
        </is>
      </c>
      <c r="C9" s="7" t="inlineStr">
        <is>
          <t>类型</t>
        </is>
      </c>
      <c r="D9" s="7" t="inlineStr">
        <is>
          <t>爽点标签</t>
        </is>
      </c>
      <c r="E9" s="7" t="inlineStr">
        <is>
          <t>目标字数</t>
        </is>
      </c>
      <c r="F9" s="7" t="inlineStr">
        <is>
          <t>伏笔埋设</t>
        </is>
      </c>
      <c r="G9" s="7" t="inlineStr">
        <is>
          <t>伏笔回收</t>
        </is>
      </c>
      <c r="H9" s="7" t="inlineStr">
        <is>
          <t>完成状态</t>
        </is>
      </c>
      <c r="I9" s="7" t="inlineStr">
        <is>
          <t>爽点计数</t>
        </is>
      </c>
      <c r="J9" s="7" t="inlineStr">
        <is>
          <t>连续无爽点</t>
        </is>
      </c>
    </row>
    <row r="10" ht="30" customHeight="1">
      <c r="A10" s="4" t="n">
        <v>1</v>
      </c>
      <c r="B10" s="4" t="inlineStr">
        <is>
          <t>废柴少年</t>
        </is>
      </c>
      <c r="C10" s="4" t="inlineStr">
        <is>
          <t>日常</t>
        </is>
      </c>
      <c r="D10" s="4" t="inlineStr"/>
      <c r="E10" s="4" t="n">
        <v>3000</v>
      </c>
      <c r="F10" s="4" t="inlineStr">
        <is>
          <t>神秘戒指</t>
        </is>
      </c>
      <c r="G10" s="4" t="inlineStr"/>
      <c r="H10" s="4" t="inlineStr">
        <is>
          <t>已完成</t>
        </is>
      </c>
      <c r="I10" s="4">
        <f>IF(D10="",0,1)</f>
        <v/>
      </c>
      <c r="J10" s="4">
        <f>IF(I10=0,1,0)</f>
        <v/>
      </c>
    </row>
    <row r="11" ht="30" customHeight="1">
      <c r="A11" s="3" t="n">
        <v>2</v>
      </c>
      <c r="B11" s="3" t="inlineStr">
        <is>
          <t>屈辱之日</t>
        </is>
      </c>
      <c r="C11" s="3" t="inlineStr">
        <is>
          <t>冲突</t>
        </is>
      </c>
      <c r="D11" s="3" t="inlineStr">
        <is>
          <t>打脸</t>
        </is>
      </c>
      <c r="E11" s="3" t="n">
        <v>3000</v>
      </c>
      <c r="F11" s="3" t="inlineStr"/>
      <c r="G11" s="3" t="inlineStr"/>
      <c r="H11" s="3" t="inlineStr">
        <is>
          <t>已完成</t>
        </is>
      </c>
      <c r="I11" s="3">
        <f>IF(D11="",0,1)</f>
        <v/>
      </c>
      <c r="J11" s="3">
        <f>IF(I11=0,J10+1,0)</f>
        <v/>
      </c>
    </row>
    <row r="12" ht="30" customHeight="1">
      <c r="A12" s="4" t="n">
        <v>3</v>
      </c>
      <c r="B12" s="4" t="inlineStr">
        <is>
          <t>奇遇降临</t>
        </is>
      </c>
      <c r="C12" s="4" t="inlineStr">
        <is>
          <t>转折</t>
        </is>
      </c>
      <c r="D12" s="4" t="inlineStr">
        <is>
          <t>奇遇</t>
        </is>
      </c>
      <c r="E12" s="4" t="n">
        <v>3000</v>
      </c>
      <c r="F12" s="4" t="inlineStr">
        <is>
          <t>戒指来历</t>
        </is>
      </c>
      <c r="G12" s="4" t="inlineStr"/>
      <c r="H12" s="4" t="inlineStr">
        <is>
          <t>已完成</t>
        </is>
      </c>
      <c r="I12" s="4">
        <f>IF(D12="",0,1)</f>
        <v/>
      </c>
      <c r="J12" s="4">
        <f>IF(I12=0,J11+1,0)</f>
        <v/>
      </c>
    </row>
    <row r="13" ht="30" customHeight="1">
      <c r="A13" s="3" t="n">
        <v>4</v>
      </c>
      <c r="B13" s="3" t="inlineStr">
        <is>
          <t>初显锋芒</t>
        </is>
      </c>
      <c r="C13" s="3" t="inlineStr">
        <is>
          <t>高潮</t>
        </is>
      </c>
      <c r="D13" s="3" t="inlineStr">
        <is>
          <t>打脸+升级</t>
        </is>
      </c>
      <c r="E13" s="3" t="n">
        <v>3000</v>
      </c>
      <c r="F13" s="3" t="inlineStr"/>
      <c r="G13" s="3" t="inlineStr"/>
      <c r="H13" s="3" t="inlineStr">
        <is>
          <t>进行中</t>
        </is>
      </c>
      <c r="I13" s="3">
        <f>IF(D13="",0,1)</f>
        <v/>
      </c>
      <c r="J13" s="3">
        <f>IF(I13=0,J12+1,0)</f>
        <v/>
      </c>
    </row>
    <row r="14" ht="30" customHeight="1">
      <c r="A14" s="4" t="n">
        <v>5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>
        <f>IF(D14="",0,1)</f>
        <v/>
      </c>
      <c r="J14" s="4">
        <f>IF(I14=0,J13+1,0)</f>
        <v/>
      </c>
    </row>
    <row r="15">
      <c r="J15">
        <f>IF(I15=0,J14+1,0)</f>
        <v/>
      </c>
    </row>
    <row r="16">
      <c r="J16">
        <f>IF(I16=0,J15+1,0)</f>
        <v/>
      </c>
    </row>
    <row r="17">
      <c r="J17">
        <f>IF(I17=0,J16+1,0)</f>
        <v/>
      </c>
    </row>
    <row r="18">
      <c r="J18">
        <f>IF(I18=0,J17+1,0)</f>
        <v/>
      </c>
    </row>
    <row r="19">
      <c r="J19">
        <f>IF(I19=0,J18+1,0)</f>
        <v/>
      </c>
    </row>
    <row r="20">
      <c r="J20">
        <f>IF(I20=0,J19+1,0)</f>
        <v/>
      </c>
    </row>
    <row r="21">
      <c r="J21">
        <f>IF(I21=0,J20+1,0)</f>
        <v/>
      </c>
    </row>
    <row r="22">
      <c r="J22">
        <f>IF(I22=0,J21+1,0)</f>
        <v/>
      </c>
    </row>
    <row r="23">
      <c r="J23">
        <f>IF(I23=0,J22+1,0)</f>
        <v/>
      </c>
    </row>
    <row r="24">
      <c r="J24">
        <f>IF(I24=0,J23+1,0)</f>
        <v/>
      </c>
    </row>
    <row r="25">
      <c r="J25">
        <f>IF(I25=0,J24+1,0)</f>
        <v/>
      </c>
    </row>
    <row r="26">
      <c r="J26">
        <f>IF(I26=0,J25+1,0)</f>
        <v/>
      </c>
    </row>
    <row r="27">
      <c r="J27">
        <f>IF(I27=0,J26+1,0)</f>
        <v/>
      </c>
    </row>
    <row r="28">
      <c r="J28">
        <f>IF(I28=0,J27+1,0)</f>
        <v/>
      </c>
    </row>
    <row r="29">
      <c r="J29">
        <f>IF(I29=0,J28+1,0)</f>
        <v/>
      </c>
    </row>
    <row r="30">
      <c r="J30">
        <f>IF(I30=0,J29+1,0)</f>
        <v/>
      </c>
    </row>
    <row r="31">
      <c r="J31">
        <f>IF(I31=0,J30+1,0)</f>
        <v/>
      </c>
    </row>
    <row r="32">
      <c r="J32">
        <f>IF(I32=0,J31+1,0)</f>
        <v/>
      </c>
    </row>
    <row r="33">
      <c r="J33">
        <f>IF(I33=0,J32+1,0)</f>
        <v/>
      </c>
    </row>
    <row r="34">
      <c r="J34">
        <f>IF(I34=0,J33+1,0)</f>
        <v/>
      </c>
    </row>
    <row r="35">
      <c r="J35">
        <f>IF(I35=0,J34+1,0)</f>
        <v/>
      </c>
    </row>
    <row r="36">
      <c r="J36">
        <f>IF(I36=0,J35+1,0)</f>
        <v/>
      </c>
    </row>
    <row r="37">
      <c r="J37">
        <f>IF(I37=0,J36+1,0)</f>
        <v/>
      </c>
    </row>
    <row r="38">
      <c r="J38">
        <f>IF(I38=0,J37+1,0)</f>
        <v/>
      </c>
    </row>
    <row r="39">
      <c r="J39">
        <f>IF(I39=0,J38+1,0)</f>
        <v/>
      </c>
    </row>
    <row r="40">
      <c r="J40">
        <f>IF(I40=0,J39+1,0)</f>
        <v/>
      </c>
    </row>
    <row r="41">
      <c r="J41">
        <f>IF(I41=0,J40+1,0)</f>
        <v/>
      </c>
    </row>
    <row r="42">
      <c r="J42">
        <f>IF(I42=0,J41+1,0)</f>
        <v/>
      </c>
    </row>
    <row r="43">
      <c r="J43">
        <f>IF(I43=0,J42+1,0)</f>
        <v/>
      </c>
    </row>
    <row r="44">
      <c r="J44">
        <f>IF(I44=0,J43+1,0)</f>
        <v/>
      </c>
    </row>
    <row r="45">
      <c r="J45">
        <f>IF(I45=0,J44+1,0)</f>
        <v/>
      </c>
    </row>
    <row r="46">
      <c r="J46">
        <f>IF(I46=0,J45+1,0)</f>
        <v/>
      </c>
    </row>
    <row r="47">
      <c r="J47">
        <f>IF(I47=0,J46+1,0)</f>
        <v/>
      </c>
    </row>
    <row r="48">
      <c r="J48">
        <f>IF(I48=0,J47+1,0)</f>
        <v/>
      </c>
    </row>
    <row r="49">
      <c r="J49">
        <f>IF(I49=0,J48+1,0)</f>
        <v/>
      </c>
    </row>
    <row r="50">
      <c r="J50">
        <f>IF(I50=0,J49+1,0)</f>
        <v/>
      </c>
    </row>
    <row r="51">
      <c r="J51">
        <f>IF(I51=0,J50+1,0)</f>
        <v/>
      </c>
    </row>
    <row r="52">
      <c r="J52">
        <f>IF(I52=0,J51+1,0)</f>
        <v/>
      </c>
    </row>
    <row r="53">
      <c r="J53">
        <f>IF(I53=0,J52+1,0)</f>
        <v/>
      </c>
    </row>
    <row r="54">
      <c r="J54">
        <f>IF(I54=0,J53+1,0)</f>
        <v/>
      </c>
    </row>
    <row r="55">
      <c r="J55">
        <f>IF(I55=0,J54+1,0)</f>
        <v/>
      </c>
    </row>
    <row r="56">
      <c r="J56">
        <f>IF(I56=0,J55+1,0)</f>
        <v/>
      </c>
    </row>
    <row r="57">
      <c r="J57">
        <f>IF(I57=0,J56+1,0)</f>
        <v/>
      </c>
    </row>
    <row r="58">
      <c r="J58">
        <f>IF(I58=0,J57+1,0)</f>
        <v/>
      </c>
    </row>
    <row r="59">
      <c r="J59">
        <f>IF(I59=0,J58+1,0)</f>
        <v/>
      </c>
    </row>
    <row r="60">
      <c r="J60">
        <f>IF(I60=0,J59+1,0)</f>
        <v/>
      </c>
    </row>
    <row r="61">
      <c r="J61">
        <f>IF(I61=0,J60+1,0)</f>
        <v/>
      </c>
    </row>
    <row r="62">
      <c r="J62">
        <f>IF(I62=0,J61+1,0)</f>
        <v/>
      </c>
    </row>
    <row r="63">
      <c r="J63">
        <f>IF(I63=0,J62+1,0)</f>
        <v/>
      </c>
    </row>
    <row r="64">
      <c r="J64">
        <f>IF(I64=0,J63+1,0)</f>
        <v/>
      </c>
    </row>
    <row r="65">
      <c r="J65">
        <f>IF(I65=0,J64+1,0)</f>
        <v/>
      </c>
    </row>
    <row r="66">
      <c r="J66">
        <f>IF(I66=0,J65+1,0)</f>
        <v/>
      </c>
    </row>
    <row r="67">
      <c r="J67">
        <f>IF(I67=0,J66+1,0)</f>
        <v/>
      </c>
    </row>
    <row r="68">
      <c r="J68">
        <f>IF(I68=0,J67+1,0)</f>
        <v/>
      </c>
    </row>
    <row r="69">
      <c r="J69">
        <f>IF(I69=0,J68+1,0)</f>
        <v/>
      </c>
    </row>
    <row r="70">
      <c r="J70">
        <f>IF(I70=0,J69+1,0)</f>
        <v/>
      </c>
    </row>
    <row r="71">
      <c r="J71">
        <f>IF(I71=0,J70+1,0)</f>
        <v/>
      </c>
    </row>
    <row r="72">
      <c r="J72">
        <f>IF(I72=0,J71+1,0)</f>
        <v/>
      </c>
    </row>
    <row r="73">
      <c r="J73">
        <f>IF(I73=0,J72+1,0)</f>
        <v/>
      </c>
    </row>
    <row r="74">
      <c r="J74">
        <f>IF(I74=0,J73+1,0)</f>
        <v/>
      </c>
    </row>
    <row r="75">
      <c r="J75">
        <f>IF(I75=0,J74+1,0)</f>
        <v/>
      </c>
    </row>
    <row r="76">
      <c r="J76">
        <f>IF(I76=0,J75+1,0)</f>
        <v/>
      </c>
    </row>
    <row r="77">
      <c r="J77">
        <f>IF(I77=0,J76+1,0)</f>
        <v/>
      </c>
    </row>
    <row r="78">
      <c r="J78">
        <f>IF(I78=0,J77+1,0)</f>
        <v/>
      </c>
    </row>
    <row r="79">
      <c r="J79">
        <f>IF(I79=0,J78+1,0)</f>
        <v/>
      </c>
    </row>
    <row r="80">
      <c r="J80">
        <f>IF(I80=0,J79+1,0)</f>
        <v/>
      </c>
    </row>
    <row r="81">
      <c r="J81">
        <f>IF(I81=0,J80+1,0)</f>
        <v/>
      </c>
    </row>
    <row r="82">
      <c r="J82">
        <f>IF(I82=0,J81+1,0)</f>
        <v/>
      </c>
    </row>
    <row r="83">
      <c r="J83">
        <f>IF(I83=0,J82+1,0)</f>
        <v/>
      </c>
    </row>
    <row r="84">
      <c r="J84">
        <f>IF(I84=0,J83+1,0)</f>
        <v/>
      </c>
    </row>
    <row r="85">
      <c r="J85">
        <f>IF(I85=0,J84+1,0)</f>
        <v/>
      </c>
    </row>
    <row r="86">
      <c r="J86">
        <f>IF(I86=0,J85+1,0)</f>
        <v/>
      </c>
    </row>
    <row r="87">
      <c r="J87">
        <f>IF(I87=0,J86+1,0)</f>
        <v/>
      </c>
    </row>
    <row r="88">
      <c r="J88">
        <f>IF(I88=0,J87+1,0)</f>
        <v/>
      </c>
    </row>
    <row r="89">
      <c r="J89">
        <f>IF(I89=0,J88+1,0)</f>
        <v/>
      </c>
    </row>
    <row r="90">
      <c r="J90">
        <f>IF(I90=0,J89+1,0)</f>
        <v/>
      </c>
    </row>
    <row r="91">
      <c r="J91">
        <f>IF(I91=0,J90+1,0)</f>
        <v/>
      </c>
    </row>
    <row r="92">
      <c r="J92">
        <f>IF(I92=0,J91+1,0)</f>
        <v/>
      </c>
    </row>
    <row r="93">
      <c r="J93">
        <f>IF(I93=0,J92+1,0)</f>
        <v/>
      </c>
    </row>
    <row r="94">
      <c r="J94">
        <f>IF(I94=0,J93+1,0)</f>
        <v/>
      </c>
    </row>
    <row r="95">
      <c r="J95">
        <f>IF(I95=0,J94+1,0)</f>
        <v/>
      </c>
    </row>
    <row r="96">
      <c r="J96">
        <f>IF(I96=0,J95+1,0)</f>
        <v/>
      </c>
    </row>
    <row r="97">
      <c r="J97">
        <f>IF(I97=0,J96+1,0)</f>
        <v/>
      </c>
    </row>
    <row r="98">
      <c r="J98">
        <f>IF(I98=0,J97+1,0)</f>
        <v/>
      </c>
    </row>
    <row r="99">
      <c r="J99">
        <f>IF(I99=0,J98+1,0)</f>
        <v/>
      </c>
    </row>
    <row r="100">
      <c r="J100">
        <f>IF(I100=0,J99+1,0)</f>
        <v/>
      </c>
    </row>
    <row r="101">
      <c r="J101">
        <f>IF(I101=0,J100+1,0)</f>
        <v/>
      </c>
    </row>
    <row r="102">
      <c r="J102">
        <f>IF(I102=0,J101+1,0)</f>
        <v/>
      </c>
    </row>
    <row r="103">
      <c r="J103">
        <f>IF(I103=0,J102+1,0)</f>
        <v/>
      </c>
    </row>
    <row r="104">
      <c r="J104">
        <f>IF(I104=0,J103+1,0)</f>
        <v/>
      </c>
    </row>
    <row r="105">
      <c r="J105">
        <f>IF(I105=0,J104+1,0)</f>
        <v/>
      </c>
    </row>
    <row r="106">
      <c r="J106">
        <f>IF(I106=0,J105+1,0)</f>
        <v/>
      </c>
    </row>
    <row r="107">
      <c r="J107">
        <f>IF(I107=0,J106+1,0)</f>
        <v/>
      </c>
    </row>
    <row r="108">
      <c r="J108">
        <f>IF(I108=0,J107+1,0)</f>
        <v/>
      </c>
    </row>
    <row r="109">
      <c r="J109">
        <f>IF(I109=0,J108+1,0)</f>
        <v/>
      </c>
    </row>
    <row r="110">
      <c r="J110">
        <f>IF(I110=0,J109+1,0)</f>
        <v/>
      </c>
    </row>
    <row r="111">
      <c r="J111">
        <f>IF(I111=0,J110+1,0)</f>
        <v/>
      </c>
    </row>
    <row r="112">
      <c r="J112">
        <f>IF(I112=0,J111+1,0)</f>
        <v/>
      </c>
    </row>
    <row r="113">
      <c r="J113">
        <f>IF(I113=0,J112+1,0)</f>
        <v/>
      </c>
    </row>
    <row r="114">
      <c r="J114">
        <f>IF(I114=0,J113+1,0)</f>
        <v/>
      </c>
    </row>
    <row r="115">
      <c r="J115">
        <f>IF(I115=0,J114+1,0)</f>
        <v/>
      </c>
    </row>
    <row r="116">
      <c r="J116">
        <f>IF(I116=0,J115+1,0)</f>
        <v/>
      </c>
    </row>
    <row r="117">
      <c r="J117">
        <f>IF(I117=0,J116+1,0)</f>
        <v/>
      </c>
    </row>
    <row r="118">
      <c r="J118">
        <f>IF(I118=0,J117+1,0)</f>
        <v/>
      </c>
    </row>
    <row r="119">
      <c r="J119">
        <f>IF(I119=0,J118+1,0)</f>
        <v/>
      </c>
    </row>
    <row r="120">
      <c r="J120">
        <f>IF(I120=0,J119+1,0)</f>
        <v/>
      </c>
    </row>
    <row r="121">
      <c r="J121">
        <f>IF(I121=0,J120+1,0)</f>
        <v/>
      </c>
    </row>
    <row r="122">
      <c r="J122">
        <f>IF(I122=0,J121+1,0)</f>
        <v/>
      </c>
    </row>
    <row r="123">
      <c r="J123">
        <f>IF(I123=0,J122+1,0)</f>
        <v/>
      </c>
    </row>
    <row r="124">
      <c r="J124">
        <f>IF(I124=0,J123+1,0)</f>
        <v/>
      </c>
    </row>
    <row r="125">
      <c r="J125">
        <f>IF(I125=0,J124+1,0)</f>
        <v/>
      </c>
    </row>
    <row r="126">
      <c r="J126">
        <f>IF(I126=0,J125+1,0)</f>
        <v/>
      </c>
    </row>
    <row r="127">
      <c r="J127">
        <f>IF(I127=0,J126+1,0)</f>
        <v/>
      </c>
    </row>
    <row r="128">
      <c r="J128">
        <f>IF(I128=0,J127+1,0)</f>
        <v/>
      </c>
    </row>
    <row r="129">
      <c r="J129">
        <f>IF(I129=0,J128+1,0)</f>
        <v/>
      </c>
    </row>
    <row r="130">
      <c r="J130">
        <f>IF(I130=0,J129+1,0)</f>
        <v/>
      </c>
    </row>
    <row r="131">
      <c r="J131">
        <f>IF(I131=0,J130+1,0)</f>
        <v/>
      </c>
    </row>
    <row r="132">
      <c r="J132">
        <f>IF(I132=0,J131+1,0)</f>
        <v/>
      </c>
    </row>
    <row r="133">
      <c r="J133">
        <f>IF(I133=0,J132+1,0)</f>
        <v/>
      </c>
    </row>
    <row r="134">
      <c r="J134">
        <f>IF(I134=0,J133+1,0)</f>
        <v/>
      </c>
    </row>
    <row r="135">
      <c r="J135">
        <f>IF(I135=0,J134+1,0)</f>
        <v/>
      </c>
    </row>
    <row r="136">
      <c r="J136">
        <f>IF(I136=0,J135+1,0)</f>
        <v/>
      </c>
    </row>
    <row r="137">
      <c r="J137">
        <f>IF(I137=0,J136+1,0)</f>
        <v/>
      </c>
    </row>
    <row r="138">
      <c r="J138">
        <f>IF(I138=0,J137+1,0)</f>
        <v/>
      </c>
    </row>
    <row r="139">
      <c r="J139">
        <f>IF(I139=0,J138+1,0)</f>
        <v/>
      </c>
    </row>
    <row r="140">
      <c r="J140">
        <f>IF(I140=0,J139+1,0)</f>
        <v/>
      </c>
    </row>
    <row r="141">
      <c r="J141">
        <f>IF(I141=0,J140+1,0)</f>
        <v/>
      </c>
    </row>
    <row r="142">
      <c r="J142">
        <f>IF(I142=0,J141+1,0)</f>
        <v/>
      </c>
    </row>
    <row r="143">
      <c r="J143">
        <f>IF(I143=0,J142+1,0)</f>
        <v/>
      </c>
    </row>
    <row r="144">
      <c r="J144">
        <f>IF(I144=0,J143+1,0)</f>
        <v/>
      </c>
    </row>
    <row r="145">
      <c r="J145">
        <f>IF(I145=0,J144+1,0)</f>
        <v/>
      </c>
    </row>
    <row r="146">
      <c r="J146">
        <f>IF(I146=0,J145+1,0)</f>
        <v/>
      </c>
    </row>
    <row r="147">
      <c r="J147">
        <f>IF(I147=0,J146+1,0)</f>
        <v/>
      </c>
    </row>
    <row r="148">
      <c r="J148">
        <f>IF(I148=0,J147+1,0)</f>
        <v/>
      </c>
    </row>
    <row r="149">
      <c r="J149">
        <f>IF(I149=0,J148+1,0)</f>
        <v/>
      </c>
    </row>
    <row r="150">
      <c r="J150">
        <f>IF(I150=0,J149+1,0)</f>
        <v/>
      </c>
    </row>
    <row r="151">
      <c r="J151">
        <f>IF(I151=0,J150+1,0)</f>
        <v/>
      </c>
    </row>
    <row r="152">
      <c r="J152">
        <f>IF(I152=0,J151+1,0)</f>
        <v/>
      </c>
    </row>
    <row r="153">
      <c r="J153">
        <f>IF(I153=0,J152+1,0)</f>
        <v/>
      </c>
    </row>
    <row r="154">
      <c r="J154">
        <f>IF(I154=0,J153+1,0)</f>
        <v/>
      </c>
    </row>
    <row r="155">
      <c r="J155">
        <f>IF(I155=0,J154+1,0)</f>
        <v/>
      </c>
    </row>
    <row r="156">
      <c r="J156">
        <f>IF(I156=0,J155+1,0)</f>
        <v/>
      </c>
    </row>
    <row r="157">
      <c r="J157">
        <f>IF(I157=0,J156+1,0)</f>
        <v/>
      </c>
    </row>
    <row r="158">
      <c r="J158">
        <f>IF(I158=0,J157+1,0)</f>
        <v/>
      </c>
    </row>
    <row r="159">
      <c r="J159">
        <f>IF(I159=0,J158+1,0)</f>
        <v/>
      </c>
    </row>
    <row r="160">
      <c r="J160">
        <f>IF(I160=0,J159+1,0)</f>
        <v/>
      </c>
    </row>
    <row r="161">
      <c r="J161">
        <f>IF(I161=0,J160+1,0)</f>
        <v/>
      </c>
    </row>
    <row r="162">
      <c r="J162">
        <f>IF(I162=0,J161+1,0)</f>
        <v/>
      </c>
    </row>
    <row r="163">
      <c r="J163">
        <f>IF(I163=0,J162+1,0)</f>
        <v/>
      </c>
    </row>
    <row r="164">
      <c r="J164">
        <f>IF(I164=0,J163+1,0)</f>
        <v/>
      </c>
    </row>
    <row r="165">
      <c r="J165">
        <f>IF(I165=0,J164+1,0)</f>
        <v/>
      </c>
    </row>
    <row r="166">
      <c r="J166">
        <f>IF(I166=0,J165+1,0)</f>
        <v/>
      </c>
    </row>
    <row r="167">
      <c r="J167">
        <f>IF(I167=0,J166+1,0)</f>
        <v/>
      </c>
    </row>
    <row r="168">
      <c r="J168">
        <f>IF(I168=0,J167+1,0)</f>
        <v/>
      </c>
    </row>
    <row r="169">
      <c r="J169">
        <f>IF(I169=0,J168+1,0)</f>
        <v/>
      </c>
    </row>
    <row r="170">
      <c r="J170">
        <f>IF(I170=0,J169+1,0)</f>
        <v/>
      </c>
    </row>
    <row r="171">
      <c r="J171">
        <f>IF(I171=0,J170+1,0)</f>
        <v/>
      </c>
    </row>
    <row r="172">
      <c r="J172">
        <f>IF(I172=0,J171+1,0)</f>
        <v/>
      </c>
    </row>
    <row r="173">
      <c r="J173">
        <f>IF(I173=0,J172+1,0)</f>
        <v/>
      </c>
    </row>
    <row r="174">
      <c r="J174">
        <f>IF(I174=0,J173+1,0)</f>
        <v/>
      </c>
    </row>
    <row r="175">
      <c r="J175">
        <f>IF(I175=0,J174+1,0)</f>
        <v/>
      </c>
    </row>
    <row r="176">
      <c r="J176">
        <f>IF(I176=0,J175+1,0)</f>
        <v/>
      </c>
    </row>
    <row r="177">
      <c r="J177">
        <f>IF(I177=0,J176+1,0)</f>
        <v/>
      </c>
    </row>
    <row r="178">
      <c r="J178">
        <f>IF(I178=0,J177+1,0)</f>
        <v/>
      </c>
    </row>
    <row r="179">
      <c r="J179">
        <f>IF(I179=0,J178+1,0)</f>
        <v/>
      </c>
    </row>
    <row r="180">
      <c r="J180">
        <f>IF(I180=0,J179+1,0)</f>
        <v/>
      </c>
    </row>
    <row r="181">
      <c r="J181">
        <f>IF(I181=0,J180+1,0)</f>
        <v/>
      </c>
    </row>
    <row r="182">
      <c r="J182">
        <f>IF(I182=0,J181+1,0)</f>
        <v/>
      </c>
    </row>
    <row r="183">
      <c r="J183">
        <f>IF(I183=0,J182+1,0)</f>
        <v/>
      </c>
    </row>
    <row r="184">
      <c r="J184">
        <f>IF(I184=0,J183+1,0)</f>
        <v/>
      </c>
    </row>
    <row r="185">
      <c r="J185">
        <f>IF(I185=0,J184+1,0)</f>
        <v/>
      </c>
    </row>
    <row r="186">
      <c r="J186">
        <f>IF(I186=0,J185+1,0)</f>
        <v/>
      </c>
    </row>
    <row r="187">
      <c r="J187">
        <f>IF(I187=0,J186+1,0)</f>
        <v/>
      </c>
    </row>
    <row r="188">
      <c r="J188">
        <f>IF(I188=0,J187+1,0)</f>
        <v/>
      </c>
    </row>
    <row r="189">
      <c r="J189">
        <f>IF(I189=0,J188+1,0)</f>
        <v/>
      </c>
    </row>
    <row r="190">
      <c r="J190">
        <f>IF(I190=0,J189+1,0)</f>
        <v/>
      </c>
    </row>
    <row r="191">
      <c r="J191">
        <f>IF(I191=0,J190+1,0)</f>
        <v/>
      </c>
    </row>
    <row r="192">
      <c r="J192">
        <f>IF(I192=0,J191+1,0)</f>
        <v/>
      </c>
    </row>
    <row r="193">
      <c r="J193">
        <f>IF(I193=0,J192+1,0)</f>
        <v/>
      </c>
    </row>
    <row r="194">
      <c r="J194">
        <f>IF(I194=0,J193+1,0)</f>
        <v/>
      </c>
    </row>
    <row r="195">
      <c r="J195">
        <f>IF(I195=0,J194+1,0)</f>
        <v/>
      </c>
    </row>
    <row r="196">
      <c r="J196">
        <f>IF(I196=0,J195+1,0)</f>
        <v/>
      </c>
    </row>
    <row r="197">
      <c r="J197">
        <f>IF(I197=0,J196+1,0)</f>
        <v/>
      </c>
    </row>
    <row r="198">
      <c r="J198">
        <f>IF(I198=0,J197+1,0)</f>
        <v/>
      </c>
    </row>
    <row r="199">
      <c r="J199">
        <f>IF(I199=0,J198+1,0)</f>
        <v/>
      </c>
    </row>
    <row r="200">
      <c r="J200">
        <f>IF(I200=0,J199+1,0)</f>
        <v/>
      </c>
    </row>
    <row r="201">
      <c r="J201">
        <f>IF(I201=0,J200+1,0)</f>
        <v/>
      </c>
    </row>
    <row r="202">
      <c r="J202">
        <f>IF(I202=0,J201+1,0)</f>
        <v/>
      </c>
    </row>
    <row r="203">
      <c r="J203">
        <f>IF(I203=0,J202+1,0)</f>
        <v/>
      </c>
    </row>
    <row r="204">
      <c r="J204">
        <f>IF(I204=0,J203+1,0)</f>
        <v/>
      </c>
    </row>
    <row r="205">
      <c r="J205">
        <f>IF(I205=0,J204+1,0)</f>
        <v/>
      </c>
    </row>
    <row r="206">
      <c r="J206">
        <f>IF(I206=0,J205+1,0)</f>
        <v/>
      </c>
    </row>
    <row r="207">
      <c r="J207">
        <f>IF(I207=0,J206+1,0)</f>
        <v/>
      </c>
    </row>
    <row r="208">
      <c r="J208">
        <f>IF(I208=0,J207+1,0)</f>
        <v/>
      </c>
    </row>
    <row r="209">
      <c r="J209">
        <f>IF(I209=0,J208+1,0)</f>
        <v/>
      </c>
    </row>
  </sheetData>
  <mergeCells count="3">
    <mergeCell ref="A1:J1"/>
    <mergeCell ref="A8:J8"/>
    <mergeCell ref="A2:J2"/>
  </mergeCells>
  <conditionalFormatting sqref="A10:J210">
    <cfRule type="expression" priority="1" dxfId="0">
      <formula>J10&gt;=10</formula>
    </cfRule>
    <cfRule type="expression" priority="2" dxfId="1">
      <formula>AND(J10&gt;=5,J10&lt;10)</formula>
    </cfRule>
  </conditionalFormatting>
  <dataValidations count="3">
    <dataValidation sqref="I4:I20" showDropDown="0" showInputMessage="0" showErrorMessage="0" allowBlank="1" type="list">
      <formula1>"未开始,进行中,已完成"</formula1>
    </dataValidation>
    <dataValidation sqref="C10:C209" showDropDown="0" showInputMessage="0" showErrorMessage="0" allowBlank="1" type="list">
      <formula1>"日常,冲突,转折,高潮,过渡"</formula1>
    </dataValidation>
    <dataValidation sqref="H10:H209" showDropDown="0" showInputMessage="0" showErrorMessage="0" allowBlank="1" type="list">
      <formula1>"未开始,进行中,已完成"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3" customWidth="1" min="4" max="4"/>
    <col width="12" customWidth="1" min="5" max="5"/>
    <col width="8" customWidth="1" min="6" max="6"/>
    <col width="8" customWidth="1" min="7" max="7"/>
    <col width="12" customWidth="1" min="8" max="8"/>
    <col width="8" customWidth="1" min="9" max="9"/>
    <col width="8" customWidth="1" min="10" max="10"/>
  </cols>
  <sheetData>
    <row r="1" ht="40" customHeight="1">
      <c r="A1" s="1" t="inlineStr">
        <is>
          <t>【技能指引】本表用于拆解每章的细纲。每章至少3个场景，每个场景必须有冲突或钩子。情感强度1-10分，确保曲线有起伏。</t>
        </is>
      </c>
    </row>
    <row r="2" ht="25" customHeight="1">
      <c r="A2" s="6" t="inlineStr">
        <is>
          <t>【节规划】</t>
        </is>
      </c>
    </row>
    <row r="3" ht="25" customHeight="1">
      <c r="A3" s="7" t="inlineStr">
        <is>
          <t>章号</t>
        </is>
      </c>
      <c r="B3" s="7" t="inlineStr">
        <is>
          <t>节号</t>
        </is>
      </c>
      <c r="C3" s="7" t="inlineStr">
        <is>
          <t>场景地点</t>
        </is>
      </c>
      <c r="D3" s="7" t="inlineStr">
        <is>
          <t>出场角色</t>
        </is>
      </c>
      <c r="E3" s="7" t="inlineStr">
        <is>
          <t>核心动作</t>
        </is>
      </c>
      <c r="F3" s="7" t="inlineStr">
        <is>
          <t>冲突类型</t>
        </is>
      </c>
      <c r="G3" s="7" t="inlineStr">
        <is>
          <t>钩子类型</t>
        </is>
      </c>
      <c r="H3" s="7" t="inlineStr">
        <is>
          <t>情感强度(1-10)</t>
        </is>
      </c>
      <c r="I3" s="7" t="inlineStr">
        <is>
          <t>字数</t>
        </is>
      </c>
      <c r="J3" s="7" t="inlineStr">
        <is>
          <t>备注</t>
        </is>
      </c>
    </row>
    <row r="4" ht="35" customHeight="1">
      <c r="A4" s="4" t="n">
        <v>1</v>
      </c>
      <c r="B4" s="4" t="n">
        <v>1</v>
      </c>
      <c r="C4" s="4" t="inlineStr">
        <is>
          <t>家族演武场</t>
        </is>
      </c>
      <c r="D4" s="4" t="inlineStr">
        <is>
          <t>主角、反派A、围观群众</t>
        </is>
      </c>
      <c r="E4" s="4" t="inlineStr">
        <is>
          <t>主角被反派A当众羞辱</t>
        </is>
      </c>
      <c r="F4" s="4" t="inlineStr">
        <is>
          <t>人际冲突</t>
        </is>
      </c>
      <c r="G4" s="4" t="inlineStr">
        <is>
          <t>悬念</t>
        </is>
      </c>
      <c r="H4" s="4" t="n">
        <v>3</v>
      </c>
      <c r="I4" s="4" t="n">
        <v>800</v>
      </c>
      <c r="J4" s="4" t="inlineStr"/>
    </row>
    <row r="5" ht="35" customHeight="1">
      <c r="A5" s="3" t="n">
        <v>1</v>
      </c>
      <c r="B5" s="3" t="n">
        <v>2</v>
      </c>
      <c r="C5" s="3" t="inlineStr">
        <is>
          <t>主角房间</t>
        </is>
      </c>
      <c r="D5" s="3" t="inlineStr">
        <is>
          <t>主角</t>
        </is>
      </c>
      <c r="E5" s="3" t="inlineStr">
        <is>
          <t>主角发现神秘戒指</t>
        </is>
      </c>
      <c r="F5" s="3" t="inlineStr">
        <is>
          <t>内心冲突</t>
        </is>
      </c>
      <c r="G5" s="3" t="inlineStr">
        <is>
          <t>期待</t>
        </is>
      </c>
      <c r="H5" s="3" t="n">
        <v>5</v>
      </c>
      <c r="I5" s="3" t="n">
        <v>1000</v>
      </c>
      <c r="J5" s="3" t="inlineStr"/>
    </row>
    <row r="6" ht="35" customHeight="1">
      <c r="A6" s="4" t="n">
        <v>1</v>
      </c>
      <c r="B6" s="4" t="n">
        <v>3</v>
      </c>
      <c r="C6" s="4" t="inlineStr">
        <is>
          <t>后山禁地</t>
        </is>
      </c>
      <c r="D6" s="4" t="inlineStr">
        <is>
          <t>主角、神秘老者</t>
        </is>
      </c>
      <c r="E6" s="4" t="inlineStr">
        <is>
          <t>老者传授功法</t>
        </is>
      </c>
      <c r="F6" s="4" t="inlineStr">
        <is>
          <t>无</t>
        </is>
      </c>
      <c r="G6" s="4" t="inlineStr">
        <is>
          <t>危机</t>
        </is>
      </c>
      <c r="H6" s="4" t="n">
        <v>7</v>
      </c>
      <c r="I6" s="4" t="n">
        <v>1200</v>
      </c>
      <c r="J6" s="4" t="inlineStr"/>
    </row>
    <row r="7" ht="35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35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/>
    <row r="10"/>
    <row r="11" ht="25" customHeight="1">
      <c r="A11" s="6" t="inlineStr">
        <is>
          <t>【情感曲线图数据区】</t>
        </is>
      </c>
    </row>
    <row r="12" ht="25" customHeight="1">
      <c r="A12" s="7" t="inlineStr">
        <is>
          <t>进度%</t>
        </is>
      </c>
      <c r="B12" s="7" t="inlineStr">
        <is>
          <t>情感类型</t>
        </is>
      </c>
      <c r="C12" s="7" t="inlineStr">
        <is>
          <t>强度(1-10)</t>
        </is>
      </c>
      <c r="D12" s="7" t="inlineStr">
        <is>
          <t>关键事件</t>
        </is>
      </c>
      <c r="E12" s="7" t="inlineStr">
        <is>
          <t>章节</t>
        </is>
      </c>
      <c r="F12" s="7" t="inlineStr">
        <is>
          <t>备注</t>
        </is>
      </c>
    </row>
    <row r="13" ht="30" customHeight="1">
      <c r="A13" s="3" t="n">
        <v>0</v>
      </c>
      <c r="B13" s="3" t="inlineStr">
        <is>
          <t>压抑</t>
        </is>
      </c>
      <c r="C13" s="3" t="n">
        <v>2</v>
      </c>
      <c r="D13" s="3" t="inlineStr">
        <is>
          <t>主角被羞辱</t>
        </is>
      </c>
      <c r="E13" s="3" t="n">
        <v>1</v>
      </c>
      <c r="F13" s="3" t="inlineStr">
        <is>
          <t>起点要低</t>
        </is>
      </c>
    </row>
    <row r="14" ht="30" customHeight="1">
      <c r="A14" s="4" t="n">
        <v>10</v>
      </c>
      <c r="B14" s="4" t="inlineStr">
        <is>
          <t>希望</t>
        </is>
      </c>
      <c r="C14" s="4" t="n">
        <v>5</v>
      </c>
      <c r="D14" s="4" t="inlineStr">
        <is>
          <t>获得金手指</t>
        </is>
      </c>
      <c r="E14" s="4" t="n">
        <v>3</v>
      </c>
      <c r="F14" s="4" t="inlineStr">
        <is>
          <t>第一次上升</t>
        </is>
      </c>
    </row>
    <row r="15" ht="30" customHeight="1">
      <c r="A15" s="3" t="n">
        <v>25</v>
      </c>
      <c r="B15" s="3" t="inlineStr">
        <is>
          <t>爆发</t>
        </is>
      </c>
      <c r="C15" s="3" t="n">
        <v>8</v>
      </c>
      <c r="D15" s="3" t="inlineStr">
        <is>
          <t>首次打脸反派</t>
        </is>
      </c>
      <c r="E15" s="3" t="n">
        <v>15</v>
      </c>
      <c r="F15" s="3" t="inlineStr">
        <is>
          <t>小高潮</t>
        </is>
      </c>
    </row>
    <row r="16" ht="30" customHeight="1">
      <c r="A16" s="4" t="n">
        <v>50</v>
      </c>
      <c r="B16" s="4" t="inlineStr">
        <is>
          <t>危机</t>
        </is>
      </c>
      <c r="C16" s="4" t="n">
        <v>3</v>
      </c>
      <c r="D16" s="4" t="inlineStr">
        <is>
          <t>被大势力追杀</t>
        </is>
      </c>
      <c r="E16" s="4" t="n">
        <v>50</v>
      </c>
      <c r="F16" s="4" t="inlineStr">
        <is>
          <t>中点危机</t>
        </is>
      </c>
    </row>
    <row r="17" ht="30" customHeight="1">
      <c r="A17" s="3" t="n">
        <v>75</v>
      </c>
      <c r="B17" s="3" t="inlineStr">
        <is>
          <t>反击</t>
        </is>
      </c>
      <c r="C17" s="3" t="n">
        <v>7</v>
      </c>
      <c r="D17" s="3" t="inlineStr">
        <is>
          <t>联合盟友反攻</t>
        </is>
      </c>
      <c r="E17" s="3" t="n">
        <v>75</v>
      </c>
      <c r="F17" s="3" t="inlineStr">
        <is>
          <t>第二次上升</t>
        </is>
      </c>
    </row>
    <row r="18" ht="30" customHeight="1">
      <c r="A18" s="4" t="n">
        <v>90</v>
      </c>
      <c r="B18" s="4" t="inlineStr">
        <is>
          <t>巅峰</t>
        </is>
      </c>
      <c r="C18" s="4" t="n">
        <v>10</v>
      </c>
      <c r="D18" s="4" t="inlineStr">
        <is>
          <t>最终决战胜利</t>
        </is>
      </c>
      <c r="E18" s="4" t="n">
        <v>90</v>
      </c>
      <c r="F18" s="4" t="inlineStr">
        <is>
          <t>大高潮</t>
        </is>
      </c>
    </row>
    <row r="19" ht="30" customHeight="1">
      <c r="A19" s="3" t="n">
        <v>100</v>
      </c>
      <c r="B19" s="3" t="inlineStr">
        <is>
          <t>圆满</t>
        </is>
      </c>
      <c r="C19" s="3" t="n">
        <v>6</v>
      </c>
      <c r="D19" s="3" t="inlineStr">
        <is>
          <t>结局</t>
        </is>
      </c>
      <c r="E19" s="3" t="n">
        <v>100</v>
      </c>
      <c r="F19" s="3" t="inlineStr">
        <is>
          <t>收尾</t>
        </is>
      </c>
    </row>
    <row r="20" ht="30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/>
    <row r="22" ht="25" customHeight="1">
      <c r="A22" s="6" t="inlineStr">
        <is>
          <t>【钩子清单】</t>
        </is>
      </c>
    </row>
    <row r="23" ht="25" customHeight="1">
      <c r="A23" s="7" t="inlineStr">
        <is>
          <t>钩子位置</t>
        </is>
      </c>
      <c r="B23" s="7" t="inlineStr">
        <is>
          <t>钩子内容</t>
        </is>
      </c>
      <c r="C23" s="7" t="inlineStr">
        <is>
          <t>钩子类型</t>
        </is>
      </c>
      <c r="D23" s="7" t="inlineStr">
        <is>
          <t>预期效果</t>
        </is>
      </c>
      <c r="E23" s="7" t="inlineStr">
        <is>
          <t>回收状态</t>
        </is>
      </c>
      <c r="F23" s="7" t="inlineStr">
        <is>
          <t>备注</t>
        </is>
      </c>
    </row>
    <row r="24" ht="30" customHeight="1">
      <c r="A24" s="4" t="inlineStr">
        <is>
          <t>第1章结尾</t>
        </is>
      </c>
      <c r="B24" s="4" t="inlineStr">
        <is>
          <t>神秘戒指中传来苍老声音</t>
        </is>
      </c>
      <c r="C24" s="4" t="inlineStr">
        <is>
          <t>悬念</t>
        </is>
      </c>
      <c r="D24" s="4" t="inlineStr">
        <is>
          <t>让读者想知道老者是谁</t>
        </is>
      </c>
      <c r="E24" s="4" t="inlineStr">
        <is>
          <t>未回收</t>
        </is>
      </c>
      <c r="F24" s="4" t="inlineStr"/>
    </row>
    <row r="25" ht="30" customHeight="1">
      <c r="A25" s="3" t="inlineStr">
        <is>
          <t>第3章中间</t>
        </is>
      </c>
      <c r="B25" s="3" t="inlineStr">
        <is>
          <t>主角发现功法有隐藏层</t>
        </is>
      </c>
      <c r="C25" s="3" t="inlineStr">
        <is>
          <t>期待</t>
        </is>
      </c>
      <c r="D25" s="3" t="inlineStr">
        <is>
          <t>期待主角练成隐藏层</t>
        </is>
      </c>
      <c r="E25" s="3" t="inlineStr">
        <is>
          <t>未回收</t>
        </is>
      </c>
      <c r="F25" s="3" t="inlineStr"/>
    </row>
    <row r="26" ht="30" customHeight="1">
      <c r="A26" s="4" t="inlineStr"/>
      <c r="B26" s="4" t="inlineStr"/>
      <c r="C26" s="4" t="inlineStr"/>
      <c r="D26" s="4" t="inlineStr"/>
      <c r="E26" s="4" t="inlineStr"/>
      <c r="F26" s="4" t="inlineStr"/>
    </row>
  </sheetData>
  <mergeCells count="4">
    <mergeCell ref="A1:J1"/>
    <mergeCell ref="A22:F22"/>
    <mergeCell ref="A11:F11"/>
    <mergeCell ref="A2:J2"/>
  </mergeCells>
  <dataValidations count="5">
    <dataValidation sqref="F4:F200" showDropDown="0" showInputMessage="0" showErrorMessage="0" allowBlank="1" type="list">
      <formula1>"人际冲突,内心冲突,人与环境冲突,无"</formula1>
    </dataValidation>
    <dataValidation sqref="G4:G200" showDropDown="0" showInputMessage="0" showErrorMessage="0" allowBlank="1" type="list">
      <formula1>"期待,悬念,危机,反转,无"</formula1>
    </dataValidation>
    <dataValidation sqref="H4:H200" showDropDown="0" showInputMessage="0" showErrorMessage="0" allowBlank="0" errorTitle="输入错误" error="请输入1-10之间的整数" type="whole" operator="between">
      <formula1>1</formula1>
      <formula2>10</formula2>
    </dataValidation>
    <dataValidation sqref="C24:C123" showDropDown="0" showInputMessage="0" showErrorMessage="0" allowBlank="1" type="list">
      <formula1>"期待,悬念,危机,反转"</formula1>
    </dataValidation>
    <dataValidation sqref="E24:E123" showDropDown="0" showInputMessage="0" showErrorMessage="0" allowBlank="1" type="list">
      <formula1>"未回收,已回收"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8" customWidth="1" min="4" max="4"/>
    <col width="8" customWidth="1" min="5" max="5"/>
    <col width="10" customWidth="1" min="6" max="6"/>
    <col width="40" customWidth="1" min="7" max="7"/>
    <col width="12" customWidth="1" min="8" max="8"/>
    <col width="8" customWidth="1" min="9" max="9"/>
    <col width="15" customWidth="1" min="10" max="10"/>
    <col width="8" customWidth="1" min="11" max="11"/>
  </cols>
  <sheetData>
    <row r="1" ht="40" customHeight="1">
      <c r="A1" s="1" t="inlineStr">
        <is>
          <t>【技能指引】本表用于每日写作记录和质量检查。坚持记录才能发现问题、提升效率。每小时字数低于500要警惕，找出原因。</t>
        </is>
      </c>
    </row>
    <row r="2" ht="25" customHeight="1">
      <c r="A2" s="6" t="inlineStr">
        <is>
          <t>【每日写作记录】</t>
        </is>
      </c>
    </row>
    <row r="3" ht="25" customHeight="1">
      <c r="A3" s="7" t="inlineStr">
        <is>
          <t>日期</t>
        </is>
      </c>
      <c r="B3" s="7" t="inlineStr">
        <is>
          <t>章号</t>
        </is>
      </c>
      <c r="C3" s="7" t="inlineStr">
        <is>
          <t>标题</t>
        </is>
      </c>
      <c r="D3" s="7" t="inlineStr">
        <is>
          <t>计划字数</t>
        </is>
      </c>
      <c r="E3" s="7" t="inlineStr">
        <is>
          <t>实际字数</t>
        </is>
      </c>
      <c r="F3" s="7" t="inlineStr">
        <is>
          <t>写作时长(小时)</t>
        </is>
      </c>
      <c r="G3" s="7" t="inlineStr">
        <is>
          <t>每小时字数</t>
        </is>
      </c>
      <c r="H3" s="7" t="inlineStr">
        <is>
          <t>质量自评(1-10)</t>
        </is>
      </c>
      <c r="I3" s="7" t="inlineStr">
        <is>
          <t>问题记录</t>
        </is>
      </c>
      <c r="J3" s="7" t="inlineStr">
        <is>
          <t>解决方法</t>
        </is>
      </c>
      <c r="K3" s="7" t="inlineStr">
        <is>
          <t>明日计划</t>
        </is>
      </c>
    </row>
    <row r="4" ht="35" customHeight="1">
      <c r="A4" s="4" t="inlineStr">
        <is>
          <t>2026-01-01</t>
        </is>
      </c>
      <c r="B4" s="4" t="n">
        <v>1</v>
      </c>
      <c r="C4" s="4" t="inlineStr">
        <is>
          <t>废柴少年</t>
        </is>
      </c>
      <c r="D4" s="4" t="n">
        <v>3000</v>
      </c>
      <c r="E4" s="4" t="n">
        <v>3200</v>
      </c>
      <c r="F4" s="4" t="n">
        <v>2.5</v>
      </c>
      <c r="G4" s="4">
        <f>IF(AND(E4&lt;&gt;"",F4&lt;&gt;"",F4&lt;&gt;0),ROUND(E4/F4,0),"")</f>
        <v/>
      </c>
      <c r="H4" s="4" t="n">
        <v>7</v>
      </c>
      <c r="I4" s="4" t="inlineStr">
        <is>
          <t>开头拖沓</t>
        </is>
      </c>
      <c r="J4" s="4" t="inlineStr">
        <is>
          <t>删减背景介绍，直接进入冲突</t>
        </is>
      </c>
      <c r="K4" s="4" t="inlineStr">
        <is>
          <t>第2章</t>
        </is>
      </c>
    </row>
    <row r="5" ht="35" customHeight="1">
      <c r="A5" s="3" t="inlineStr">
        <is>
          <t>2026-01-02</t>
        </is>
      </c>
      <c r="B5" s="3" t="n">
        <v>2</v>
      </c>
      <c r="C5" s="3" t="inlineStr">
        <is>
          <t>屈辱之日</t>
        </is>
      </c>
      <c r="D5" s="3" t="n">
        <v>3000</v>
      </c>
      <c r="E5" s="3" t="n">
        <v>2800</v>
      </c>
      <c r="F5" s="3" t="n">
        <v>3</v>
      </c>
      <c r="G5" s="3">
        <f>IF(AND(E5&lt;&gt;"",F5&lt;&gt;"",F5&lt;&gt;0),ROUND(E5/F5,0),"")</f>
        <v/>
      </c>
      <c r="H5" s="3" t="n">
        <v>6</v>
      </c>
      <c r="I5" s="3" t="inlineStr">
        <is>
          <t>对话生硬</t>
        </is>
      </c>
      <c r="J5" s="3" t="inlineStr">
        <is>
          <t>先写动作再写对话</t>
        </is>
      </c>
      <c r="K5" s="3" t="inlineStr">
        <is>
          <t>第3章</t>
        </is>
      </c>
    </row>
    <row r="6" ht="35" customHeight="1">
      <c r="A6" s="4" t="inlineStr"/>
      <c r="B6" s="4" t="inlineStr"/>
      <c r="C6" s="4" t="inlineStr"/>
      <c r="D6" s="4" t="inlineStr"/>
      <c r="E6" s="4" t="inlineStr"/>
      <c r="F6" s="4" t="inlineStr"/>
      <c r="G6" s="4">
        <f>IF(AND(E6&lt;&gt;"",F6&lt;&gt;"",F6&lt;&gt;0),ROUND(E6/F6,0),"")</f>
        <v/>
      </c>
      <c r="H6" s="4" t="inlineStr"/>
      <c r="I6" s="4" t="inlineStr"/>
      <c r="J6" s="4" t="inlineStr"/>
      <c r="K6" s="4" t="inlineStr"/>
    </row>
    <row r="7"/>
    <row r="8"/>
    <row r="9" ht="25" customHeight="1">
      <c r="A9" s="6" t="inlineStr">
        <is>
          <t>【章节检查清单】</t>
        </is>
      </c>
    </row>
    <row r="10" ht="25" customHeight="1">
      <c r="A10" s="7" t="inlineStr">
        <is>
          <t>检查项</t>
        </is>
      </c>
      <c r="B10" s="7" t="inlineStr">
        <is>
          <t>检查方法</t>
        </is>
      </c>
      <c r="C10" s="7" t="inlineStr">
        <is>
          <t>合格标准</t>
        </is>
      </c>
      <c r="D10" s="7" t="inlineStr">
        <is>
          <t>检查结果</t>
        </is>
      </c>
      <c r="E10" s="7" t="inlineStr">
        <is>
          <t>备注</t>
        </is>
      </c>
    </row>
    <row r="11" ht="35" customHeight="1">
      <c r="A11" s="3" t="inlineStr">
        <is>
          <t>开篇300字</t>
        </is>
      </c>
      <c r="B11" s="3" t="inlineStr">
        <is>
          <t>读前300字，看是否能吸引自己</t>
        </is>
      </c>
      <c r="C11" s="3" t="inlineStr">
        <is>
          <t>300字内出现冲突或悬念</t>
        </is>
      </c>
      <c r="D11" s="3" t="inlineStr"/>
      <c r="E11" s="3" t="inlineStr"/>
    </row>
    <row r="12" ht="35" customHeight="1">
      <c r="A12" s="4" t="inlineStr">
        <is>
          <t>五感描写</t>
        </is>
      </c>
      <c r="B12" s="4" t="inlineStr">
        <is>
          <t>检查本章是否有视觉/听觉/嗅觉/味觉/触觉描写</t>
        </is>
      </c>
      <c r="C12" s="4" t="inlineStr">
        <is>
          <t>至少3种感官描写</t>
        </is>
      </c>
      <c r="D12" s="4" t="inlineStr"/>
      <c r="E12" s="4" t="inlineStr"/>
    </row>
    <row r="13" ht="35" customHeight="1">
      <c r="A13" s="3" t="inlineStr">
        <is>
          <t>对话检查</t>
        </is>
      </c>
      <c r="B13" s="3" t="inlineStr">
        <is>
          <t>检查对话是否推动剧情或塑造人物</t>
        </is>
      </c>
      <c r="C13" s="3" t="inlineStr">
        <is>
          <t>无废话对话，每句对话有目的</t>
        </is>
      </c>
      <c r="D13" s="3" t="inlineStr"/>
      <c r="E13" s="3" t="inlineStr"/>
    </row>
    <row r="14" ht="35" customHeight="1">
      <c r="A14" s="4" t="inlineStr">
        <is>
          <t>钩子检查</t>
        </is>
      </c>
      <c r="B14" s="4" t="inlineStr">
        <is>
          <t>章末是否有钩子</t>
        </is>
      </c>
      <c r="C14" s="4" t="inlineStr">
        <is>
          <t>每章结尾有期待/悬念/危机</t>
        </is>
      </c>
      <c r="D14" s="4" t="inlineStr"/>
      <c r="E14" s="4" t="inlineStr"/>
    </row>
    <row r="15" ht="35" customHeight="1">
      <c r="A15" s="3" t="inlineStr">
        <is>
          <t>收尾检查</t>
        </is>
      </c>
      <c r="B15" s="3" t="inlineStr">
        <is>
          <t>本章是否有明确的结束感</t>
        </is>
      </c>
      <c r="C15" s="3" t="inlineStr">
        <is>
          <t>每章像一集电视剧，有起承转合</t>
        </is>
      </c>
      <c r="D15" s="3" t="inlineStr"/>
      <c r="E15" s="3" t="inlineStr"/>
    </row>
    <row r="16"/>
    <row r="17" ht="25" customHeight="1">
      <c r="A17" s="6" t="inlineStr">
        <is>
          <t>【累计统计】</t>
        </is>
      </c>
    </row>
    <row r="18" ht="25" customHeight="1">
      <c r="A18" s="7" t="inlineStr">
        <is>
          <t>统计项</t>
        </is>
      </c>
      <c r="B18" s="7" t="inlineStr">
        <is>
          <t>数值</t>
        </is>
      </c>
      <c r="C18" s="7" t="inlineStr">
        <is>
          <t>公式说明</t>
        </is>
      </c>
      <c r="D18" s="7" t="inlineStr"/>
      <c r="E18" s="7" t="inlineStr"/>
    </row>
    <row r="19" ht="30" customHeight="1">
      <c r="A19" s="3" t="inlineStr">
        <is>
          <t>总字数</t>
        </is>
      </c>
      <c r="B19" s="3">
        <f>SUM(E4:E500)</f>
        <v/>
      </c>
      <c r="C19" s="3">
        <f>SUM(E4:E500)</f>
        <v/>
      </c>
      <c r="D19" s="3" t="inlineStr"/>
      <c r="E19" s="3" t="inlineStr"/>
    </row>
    <row r="20" ht="30" customHeight="1">
      <c r="A20" s="4" t="inlineStr">
        <is>
          <t>总天数</t>
        </is>
      </c>
      <c r="B20" s="4">
        <f>COUNTA(A4:A500)</f>
        <v/>
      </c>
      <c r="C20" s="4">
        <f>COUNTA(A4:A500)</f>
        <v/>
      </c>
      <c r="D20" s="4" t="inlineStr"/>
      <c r="E20" s="4" t="inlineStr"/>
    </row>
    <row r="21" ht="30" customHeight="1">
      <c r="A21" s="3" t="inlineStr">
        <is>
          <t>平均日更字数</t>
        </is>
      </c>
      <c r="B21" s="3">
        <f>IF(B20&gt;0,ROUND(B19/B20,0),0)</f>
        <v/>
      </c>
      <c r="C21" s="3">
        <f>IF(B3&gt;0,ROUND(B2/B3,0),0)</f>
        <v/>
      </c>
      <c r="D21" s="3" t="inlineStr"/>
      <c r="E21" s="3" t="inlineStr"/>
    </row>
    <row r="22" ht="30" customHeight="1">
      <c r="A22" s="4" t="inlineStr">
        <is>
          <t>平均每小时字数</t>
        </is>
      </c>
      <c r="B22" s="4">
        <f>IF(COUNT(G4:G500)&gt;0,ROUND(AVERAGE(G4:G500),0),0)</f>
        <v/>
      </c>
      <c r="C22" s="4">
        <f>IF(COUNT(F4:F500)&gt;0,ROUND(AVERAGE(F4:F500),0),0)</f>
        <v/>
      </c>
      <c r="D22" s="4" t="inlineStr"/>
      <c r="E22" s="4" t="inlineStr"/>
    </row>
    <row r="23" ht="30" customHeight="1">
      <c r="A23" s="3" t="inlineStr">
        <is>
          <t>平均质量评分</t>
        </is>
      </c>
      <c r="B23" s="3">
        <f>IF(COUNT(H4:H500)&gt;0,ROUND(AVERAGE(H4:H500),1),0)</f>
        <v/>
      </c>
      <c r="C23" s="3">
        <f>IF(COUNT(H4:H500)&gt;0,ROUND(AVERAGE(H4:H500),1),0)</f>
        <v/>
      </c>
      <c r="D23" s="3" t="inlineStr"/>
      <c r="E23" s="3" t="inlineStr"/>
    </row>
    <row r="24" ht="30" customHeight="1">
      <c r="A24" s="4" t="inlineStr">
        <is>
          <t>目标总字数</t>
        </is>
      </c>
      <c r="B24" s="4" t="n">
        <v>1000000</v>
      </c>
      <c r="C24" s="4" t="inlineStr">
        <is>
          <t>手动填写</t>
        </is>
      </c>
      <c r="D24" s="4" t="inlineStr"/>
      <c r="E24" s="4" t="inlineStr"/>
    </row>
    <row r="25" ht="30" customHeight="1">
      <c r="A25" s="3" t="inlineStr">
        <is>
          <t>剩余字数</t>
        </is>
      </c>
      <c r="B25" s="3">
        <f>B24-B19</f>
        <v/>
      </c>
      <c r="C25" s="3">
        <f>B7-B2</f>
        <v/>
      </c>
      <c r="D25" s="3" t="inlineStr"/>
      <c r="E25" s="3" t="inlineStr"/>
    </row>
    <row r="26" ht="30" customHeight="1">
      <c r="A26" s="4" t="inlineStr">
        <is>
          <t>剩余天数(按日更6000)</t>
        </is>
      </c>
      <c r="B26" s="4">
        <f>IF(B25&gt;0,ROUND(B25/6000,0),0)</f>
        <v/>
      </c>
      <c r="C26" s="4">
        <f>IF(B8&gt;0,ROUND(B8/6000,0),0)</f>
        <v/>
      </c>
      <c r="D26" s="4" t="inlineStr"/>
      <c r="E26" s="4" t="inlineStr"/>
    </row>
  </sheetData>
  <mergeCells count="4">
    <mergeCell ref="A2:K2"/>
    <mergeCell ref="A1:K1"/>
    <mergeCell ref="A9:E9"/>
    <mergeCell ref="A17:E17"/>
  </mergeCells>
  <conditionalFormatting sqref="D11:D30">
    <cfRule type="cellIs" priority="1" operator="equal" dxfId="0">
      <formula>"不合格"</formula>
    </cfRule>
  </conditionalFormatting>
  <dataValidations count="2">
    <dataValidation sqref="H4:H500" showDropDown="0" showInputMessage="0" showErrorMessage="0" allowBlank="0" error="请输入1-10之间的整数" type="whole" operator="between">
      <formula1>1</formula1>
      <formula2>10</formula2>
    </dataValidation>
    <dataValidation sqref="D11:D30" showDropDown="0" showInputMessage="0" showErrorMessage="0" allowBlank="1" type="list">
      <formula1>"合格,不合格"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6" customWidth="1" min="3" max="3"/>
    <col width="8" customWidth="1" min="4" max="4"/>
    <col width="8" customWidth="1" min="5" max="5"/>
    <col width="28" customWidth="1" min="6" max="6"/>
  </cols>
  <sheetData>
    <row r="1" ht="40" customHeight="1">
      <c r="A1" s="1" t="inlineStr">
        <is>
          <t>【技能指引】本表用于三轮修订记录和10项质量检查。修订必须分轮次：第一轮修结构，第二轮修细节，第三轮修文字。不要试图一轮解决所有问题。</t>
        </is>
      </c>
    </row>
    <row r="2" ht="25" customHeight="1">
      <c r="A2" s="6" t="inlineStr">
        <is>
          <t>【三轮修订记录】</t>
        </is>
      </c>
    </row>
    <row r="3" ht="25" customHeight="1">
      <c r="A3" s="7" t="inlineStr">
        <is>
          <t>修订轮次</t>
        </is>
      </c>
      <c r="B3" s="7" t="inlineStr">
        <is>
          <t>修订日期</t>
        </is>
      </c>
      <c r="C3" s="7" t="inlineStr">
        <is>
          <t>修订范围</t>
        </is>
      </c>
      <c r="D3" s="7" t="inlineStr">
        <is>
          <t>发现问题</t>
        </is>
      </c>
      <c r="E3" s="7" t="inlineStr">
        <is>
          <t>修改内容</t>
        </is>
      </c>
      <c r="F3" s="7" t="inlineStr">
        <is>
          <t>备注</t>
        </is>
      </c>
    </row>
    <row r="4" ht="45" customHeight="1">
      <c r="A4" s="4" t="inlineStr">
        <is>
          <t>第一轮：结构</t>
        </is>
      </c>
      <c r="B4" s="4" t="inlineStr"/>
      <c r="C4" s="4" t="inlineStr">
        <is>
          <t>全文大纲</t>
        </is>
      </c>
      <c r="D4" s="4" t="inlineStr"/>
      <c r="E4" s="4" t="inlineStr"/>
      <c r="F4" s="4" t="inlineStr">
        <is>
          <t>聚焦：开头是否吸引人、节奏是否合理、高潮位置是否恰当</t>
        </is>
      </c>
    </row>
    <row r="5" ht="45" customHeight="1">
      <c r="A5" s="3" t="inlineStr">
        <is>
          <t>第二轮：细节</t>
        </is>
      </c>
      <c r="B5" s="3" t="inlineStr"/>
      <c r="C5" s="3" t="inlineStr">
        <is>
          <t>角色/伏笔/对话</t>
        </is>
      </c>
      <c r="D5" s="3" t="inlineStr"/>
      <c r="E5" s="3" t="inlineStr"/>
      <c r="F5" s="3" t="inlineStr">
        <is>
          <t>聚焦：角色行为是否一致、伏笔是否闭环、对话是否自然</t>
        </is>
      </c>
    </row>
    <row r="6" ht="45" customHeight="1">
      <c r="A6" s="4" t="inlineStr">
        <is>
          <t>第三轮：文字</t>
        </is>
      </c>
      <c r="B6" s="4" t="inlineStr"/>
      <c r="C6" s="4" t="inlineStr">
        <is>
          <t>逐字逐句</t>
        </is>
      </c>
      <c r="D6" s="4" t="inlineStr"/>
      <c r="E6" s="4" t="inlineStr"/>
      <c r="F6" s="4" t="inlineStr">
        <is>
          <t>聚焦：错别字、标点、冗余描写、口语化表达</t>
        </is>
      </c>
    </row>
    <row r="7"/>
    <row r="8"/>
    <row r="9" ht="25" customHeight="1">
      <c r="A9" s="6" t="inlineStr">
        <is>
          <t>【10项检查清单】</t>
        </is>
      </c>
    </row>
    <row r="10" ht="25" customHeight="1">
      <c r="A10" s="7" t="inlineStr">
        <is>
          <t>检查项</t>
        </is>
      </c>
      <c r="B10" s="7" t="inlineStr">
        <is>
          <t>检查方法</t>
        </is>
      </c>
      <c r="C10" s="7" t="inlineStr">
        <is>
          <t>合格标准</t>
        </is>
      </c>
      <c r="D10" s="7" t="inlineStr">
        <is>
          <t>检查结果</t>
        </is>
      </c>
      <c r="E10" s="7" t="inlineStr">
        <is>
          <t>问题数量</t>
        </is>
      </c>
      <c r="F10" s="7" t="inlineStr">
        <is>
          <t>备注</t>
        </is>
      </c>
    </row>
    <row r="11" ht="40" customHeight="1">
      <c r="A11" s="3" t="inlineStr">
        <is>
          <t>结构完整性</t>
        </is>
      </c>
      <c r="B11" s="3" t="inlineStr">
        <is>
          <t>对照大纲检查每章是否完成预定任务</t>
        </is>
      </c>
      <c r="C11" s="3" t="inlineStr">
        <is>
          <t>无遗漏章节，每章有明确作用</t>
        </is>
      </c>
      <c r="D11" s="3" t="inlineStr"/>
      <c r="E11" s="3" t="n">
        <v>0</v>
      </c>
      <c r="F11" s="3" t="inlineStr"/>
    </row>
    <row r="12" ht="40" customHeight="1">
      <c r="A12" s="4" t="inlineStr">
        <is>
          <t>节奏流畅度</t>
        </is>
      </c>
      <c r="B12" s="4" t="inlineStr">
        <is>
          <t>阅读时标记卡顿处</t>
        </is>
      </c>
      <c r="C12" s="4" t="inlineStr">
        <is>
          <t>阅读流畅，无跳戏感</t>
        </is>
      </c>
      <c r="D12" s="4" t="inlineStr"/>
      <c r="E12" s="4" t="n">
        <v>0</v>
      </c>
      <c r="F12" s="4" t="inlineStr"/>
    </row>
    <row r="13" ht="40" customHeight="1">
      <c r="A13" s="3" t="inlineStr">
        <is>
          <t>角色一致性</t>
        </is>
      </c>
      <c r="B13" s="3" t="inlineStr">
        <is>
          <t>检查角色行为是否符合设定</t>
        </is>
      </c>
      <c r="C13" s="3" t="inlineStr">
        <is>
          <t>角色行为逻辑自洽</t>
        </is>
      </c>
      <c r="D13" s="3" t="inlineStr"/>
      <c r="E13" s="3" t="n">
        <v>0</v>
      </c>
      <c r="F13" s="3" t="inlineStr"/>
    </row>
    <row r="14" ht="40" customHeight="1">
      <c r="A14" s="4" t="inlineStr">
        <is>
          <t>世界观一致性</t>
        </is>
      </c>
      <c r="B14" s="4" t="inlineStr">
        <is>
          <t>检查设定是否有矛盾</t>
        </is>
      </c>
      <c r="C14" s="4" t="inlineStr">
        <is>
          <t>无自相矛盾的设定</t>
        </is>
      </c>
      <c r="D14" s="4" t="inlineStr"/>
      <c r="E14" s="4" t="n">
        <v>0</v>
      </c>
      <c r="F14" s="4" t="inlineStr"/>
    </row>
    <row r="15" ht="40" customHeight="1">
      <c r="A15" s="3" t="inlineStr">
        <is>
          <t>伏笔回收率</t>
        </is>
      </c>
      <c r="B15" s="3" t="inlineStr">
        <is>
          <t>统计所有伏笔的回收情况</t>
        </is>
      </c>
      <c r="C15" s="3" t="inlineStr">
        <is>
          <t>重要伏笔回收率&gt;=90%</t>
        </is>
      </c>
      <c r="D15" s="3" t="inlineStr"/>
      <c r="E15" s="3" t="n">
        <v>0</v>
      </c>
      <c r="F15" s="3" t="inlineStr"/>
    </row>
    <row r="16" ht="40" customHeight="1">
      <c r="A16" s="4" t="inlineStr">
        <is>
          <t>对话质量</t>
        </is>
      </c>
      <c r="B16" s="4" t="inlineStr">
        <is>
          <t>朗读对话，检查是否自然</t>
        </is>
      </c>
      <c r="C16" s="4" t="inlineStr">
        <is>
          <t>对话口语化、有辨识度</t>
        </is>
      </c>
      <c r="D16" s="4" t="inlineStr"/>
      <c r="E16" s="4" t="n">
        <v>0</v>
      </c>
      <c r="F16" s="4" t="inlineStr"/>
    </row>
    <row r="17" ht="40" customHeight="1">
      <c r="A17" s="3" t="inlineStr">
        <is>
          <t>描写质量</t>
        </is>
      </c>
      <c r="B17" s="3" t="inlineStr">
        <is>
          <t>检查是否有"telling"而非"showing"</t>
        </is>
      </c>
      <c r="C17" s="3" t="inlineStr">
        <is>
          <t>多用动作/神态代替心理描写</t>
        </is>
      </c>
      <c r="D17" s="3" t="inlineStr"/>
      <c r="E17" s="3" t="n">
        <v>0</v>
      </c>
      <c r="F17" s="3" t="inlineStr"/>
    </row>
    <row r="18" ht="40" customHeight="1">
      <c r="A18" s="4" t="inlineStr">
        <is>
          <t>错别字</t>
        </is>
      </c>
      <c r="B18" s="4" t="inlineStr">
        <is>
          <t>通读全文或使用工具检查</t>
        </is>
      </c>
      <c r="C18" s="4" t="inlineStr">
        <is>
          <t>错别字率&lt;0.1%</t>
        </is>
      </c>
      <c r="D18" s="4" t="inlineStr"/>
      <c r="E18" s="4" t="n">
        <v>0</v>
      </c>
      <c r="F18" s="4" t="inlineStr"/>
    </row>
    <row r="19" ht="40" customHeight="1">
      <c r="A19" s="3" t="inlineStr">
        <is>
          <t>标点规范</t>
        </is>
      </c>
      <c r="B19" s="3" t="inlineStr">
        <is>
          <t>检查标点使用</t>
        </is>
      </c>
      <c r="C19" s="3" t="inlineStr">
        <is>
          <t>符合中文标点规范</t>
        </is>
      </c>
      <c r="D19" s="3" t="inlineStr"/>
      <c r="E19" s="3" t="n">
        <v>0</v>
      </c>
      <c r="F19" s="3" t="inlineStr"/>
    </row>
    <row r="20" ht="40" customHeight="1">
      <c r="A20" s="4" t="inlineStr">
        <is>
          <t>排版格式</t>
        </is>
      </c>
      <c r="B20" s="4" t="inlineStr">
        <is>
          <t>检查段落长度和分段</t>
        </is>
      </c>
      <c r="C20" s="4" t="inlineStr">
        <is>
          <t>段落不超过5行，对话单独成段</t>
        </is>
      </c>
      <c r="D20" s="4" t="inlineStr"/>
      <c r="E20" s="4" t="n">
        <v>0</v>
      </c>
      <c r="F20" s="4" t="inlineStr"/>
    </row>
  </sheetData>
  <mergeCells count="3">
    <mergeCell ref="A2:F2"/>
    <mergeCell ref="A1:F1"/>
    <mergeCell ref="A9:F9"/>
  </mergeCells>
  <conditionalFormatting sqref="D11:D30">
    <cfRule type="cellIs" priority="1" operator="equal" dxfId="0">
      <formula>"不合格"</formula>
    </cfRule>
    <cfRule type="cellIs" priority="2" operator="equal" dxfId="1">
      <formula>"部分合格"</formula>
    </cfRule>
  </conditionalFormatting>
  <dataValidations count="1">
    <dataValidation sqref="D11:D30" showDropDown="0" showInputMessage="0" showErrorMessage="0" allowBlank="1" type="list">
      <formula1>"合格,不合格,部分合格"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40" customHeight="1">
      <c r="A1" s="1" t="inlineStr">
        <is>
          <t>【技能指引】本表用于统一管理作品中的专有名词。确保同一名词在全文中保持一致，避免前后矛盾。新增名词必须及时录入。</t>
        </is>
      </c>
    </row>
    <row r="2" ht="30" customHeight="1">
      <c r="A2" s="2" t="inlineStr">
        <is>
          <t>名词</t>
        </is>
      </c>
      <c r="B2" s="2" t="inlineStr">
        <is>
          <t>定义</t>
        </is>
      </c>
      <c r="C2" s="2" t="inlineStr">
        <is>
          <t>首次出现章节</t>
        </is>
      </c>
      <c r="D2" s="2" t="inlineStr">
        <is>
          <t>分类</t>
        </is>
      </c>
      <c r="E2" s="2" t="inlineStr">
        <is>
          <t>关联名词</t>
        </is>
      </c>
      <c r="F2" s="2" t="inlineStr">
        <is>
          <t>备注</t>
        </is>
      </c>
      <c r="G2" s="2" t="inlineStr">
        <is>
          <t>修改记录</t>
        </is>
      </c>
    </row>
    <row r="3" ht="35" customHeight="1">
      <c r="A3" s="3" t="inlineStr">
        <is>
          <t>九转金丹</t>
        </is>
      </c>
      <c r="B3" s="3" t="inlineStr">
        <is>
          <t>上古丹方，服用后可突破一个大境界，但有爆体风险</t>
        </is>
      </c>
      <c r="C3" s="3" t="n">
        <v>15</v>
      </c>
      <c r="D3" s="3" t="inlineStr">
        <is>
          <t>物</t>
        </is>
      </c>
      <c r="E3" s="3" t="inlineStr">
        <is>
          <t>炼丹术、天劫</t>
        </is>
      </c>
      <c r="F3" s="3" t="inlineStr">
        <is>
          <t>全书核心道具</t>
        </is>
      </c>
      <c r="G3" s="3" t="inlineStr"/>
    </row>
    <row r="4" ht="35" customHeight="1">
      <c r="A4" s="4" t="inlineStr">
        <is>
          <t>青云宗</t>
        </is>
      </c>
      <c r="B4" s="4" t="inlineStr">
        <is>
          <t>主角所在的三流宗门，后被灭门</t>
        </is>
      </c>
      <c r="C4" s="4" t="n">
        <v>1</v>
      </c>
      <c r="D4" s="4" t="inlineStr">
        <is>
          <t>组织</t>
        </is>
      </c>
      <c r="E4" s="4" t="inlineStr">
        <is>
          <t>主角、反派A</t>
        </is>
      </c>
      <c r="F4" s="4" t="inlineStr">
        <is>
          <t>前期主要场景</t>
        </is>
      </c>
      <c r="G4" s="4" t="inlineStr"/>
    </row>
    <row r="5" ht="35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35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</sheetData>
  <mergeCells count="1">
    <mergeCell ref="A1:G1"/>
  </mergeCells>
  <dataValidations count="1">
    <dataValidation sqref="D3:D500" showDropDown="0" showInputMessage="0" showErrorMessage="0" allowBlank="1" type="list">
      <formula1>"人,地,物,技能,组织,其他"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4" customWidth="1" min="8" max="8"/>
    <col width="8" customWidth="1" min="9" max="9"/>
    <col width="11" customWidth="1" min="10" max="10"/>
  </cols>
  <sheetData>
    <row r="1" ht="40" customHeight="1">
      <c r="A1" s="1" t="inlineStr">
        <is>
          <t>【技能指引】本表用于追踪所有伏笔。伏笔是网文的核心技巧，必须有埋有收。重要伏笔（重要性4-5）必须回收，次要伏笔可选择性回收。</t>
        </is>
      </c>
    </row>
    <row r="2" ht="30" customHeight="1">
      <c r="A2" s="2" t="inlineStr">
        <is>
          <t>编号</t>
        </is>
      </c>
      <c r="B2" s="2" t="inlineStr">
        <is>
          <t>伏笔内容</t>
        </is>
      </c>
      <c r="C2" s="2" t="inlineStr">
        <is>
          <t>埋设章节</t>
        </is>
      </c>
      <c r="D2" s="2" t="inlineStr">
        <is>
          <t>埋设场景</t>
        </is>
      </c>
      <c r="E2" s="2" t="inlineStr">
        <is>
          <t>重要性(1-5)</t>
        </is>
      </c>
      <c r="F2" s="2" t="inlineStr">
        <is>
          <t>计划回收章节</t>
        </is>
      </c>
      <c r="G2" s="2" t="inlineStr">
        <is>
          <t>实际回收章节</t>
        </is>
      </c>
      <c r="H2" s="2" t="inlineStr">
        <is>
          <t>回收方式</t>
        </is>
      </c>
      <c r="I2" s="2" t="inlineStr">
        <is>
          <t>状态</t>
        </is>
      </c>
      <c r="J2" s="2" t="inlineStr">
        <is>
          <t>备注</t>
        </is>
      </c>
    </row>
    <row r="3" ht="40" customHeight="1">
      <c r="A3" s="3" t="n">
        <v>1</v>
      </c>
      <c r="B3" s="3" t="inlineStr">
        <is>
          <t>主角母亲留下的玉佩有奇异纹路</t>
        </is>
      </c>
      <c r="C3" s="3" t="n">
        <v>3</v>
      </c>
      <c r="D3" s="3" t="inlineStr">
        <is>
          <t>主角整理遗物</t>
        </is>
      </c>
      <c r="E3" s="3" t="n">
        <v>5</v>
      </c>
      <c r="F3" s="3" t="n">
        <v>80</v>
      </c>
      <c r="G3" s="3" t="inlineStr"/>
      <c r="H3" s="3" t="inlineStr">
        <is>
          <t>揭示玉佩是开启秘境的钥匙</t>
        </is>
      </c>
      <c r="I3" s="3" t="inlineStr">
        <is>
          <t>未回收</t>
        </is>
      </c>
      <c r="J3" s="3" t="inlineStr">
        <is>
          <t>核心伏笔，必须回收</t>
        </is>
      </c>
    </row>
    <row r="4" ht="40" customHeight="1">
      <c r="A4" s="4" t="n">
        <v>2</v>
      </c>
      <c r="B4" s="4" t="inlineStr">
        <is>
          <t>反派A左眼有旧伤疤</t>
        </is>
      </c>
      <c r="C4" s="4" t="n">
        <v>10</v>
      </c>
      <c r="D4" s="4" t="inlineStr">
        <is>
          <t>首次出场</t>
        </is>
      </c>
      <c r="E4" s="4" t="n">
        <v>3</v>
      </c>
      <c r="F4" s="4" t="n">
        <v>50</v>
      </c>
      <c r="G4" s="4" t="inlineStr"/>
      <c r="H4" s="4" t="inlineStr">
        <is>
          <t>伤疤是被主角父亲所伤</t>
        </is>
      </c>
      <c r="I4" s="4" t="inlineStr">
        <is>
          <t>未回收</t>
        </is>
      </c>
      <c r="J4" s="4" t="inlineStr">
        <is>
          <t>可深化反派动机</t>
        </is>
      </c>
    </row>
    <row r="5" ht="40" customHeight="1">
      <c r="A5" s="3" t="n">
        <v>3</v>
      </c>
      <c r="B5" s="3" t="inlineStr">
        <is>
          <t>酒馆老板提到"近日有陌生人打听主角"</t>
        </is>
      </c>
      <c r="C5" s="3" t="n">
        <v>20</v>
      </c>
      <c r="D5" s="3" t="inlineStr">
        <is>
          <t>酒馆场景</t>
        </is>
      </c>
      <c r="E5" s="3" t="n">
        <v>2</v>
      </c>
      <c r="F5" s="3" t="n">
        <v>60</v>
      </c>
      <c r="G5" s="3" t="inlineStr"/>
      <c r="H5" s="3" t="inlineStr">
        <is>
          <t>陌生人是主角失散的哥哥</t>
        </is>
      </c>
      <c r="I5" s="3" t="inlineStr">
        <is>
          <t>未回收</t>
        </is>
      </c>
      <c r="J5" s="3" t="inlineStr">
        <is>
          <t>可选回收</t>
        </is>
      </c>
    </row>
    <row r="6" ht="4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</sheetData>
  <mergeCells count="1">
    <mergeCell ref="A1:J1"/>
  </mergeCells>
  <conditionalFormatting sqref="E3:E500">
    <cfRule type="cellIs" priority="1" operator="equal" dxfId="0">
      <formula>5</formula>
    </cfRule>
    <cfRule type="cellIs" priority="2" operator="greaterThanOrEqual" dxfId="1">
      <formula>4</formula>
    </cfRule>
  </conditionalFormatting>
  <dataValidations count="2">
    <dataValidation sqref="E3:E500" showDropDown="0" showInputMessage="0" showErrorMessage="0" allowBlank="0" error="请输入1-5之间的整数" type="whole" operator="between">
      <formula1>1</formula1>
      <formula2>5</formula2>
    </dataValidation>
    <dataValidation sqref="I3:I500" showDropDown="0" showInputMessage="0" showErrorMessage="0" allowBlank="1" type="list">
      <formula1>"未回收,已回收,废弃"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2026-06-05T12:02:22Z</dcterms:created>
  <dcterms:modified xmlns:dcterms="http://purl.org/dc/terms/" xmlns:xsi="http://www.w3.org/2001/XMLSchema-instance" xsi:type="dcterms:W3CDTF">2026-06-05T12:02:22Z</dcterms:modified>
</cp:coreProperties>
</file>